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isut\Downloads\"/>
    </mc:Choice>
  </mc:AlternateContent>
  <xr:revisionPtr revIDLastSave="0" documentId="13_ncr:1_{20915467-6384-427C-A680-E8DADED09FC0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ข้อมูลรายวิชา" sheetId="3" r:id="rId1"/>
  </sheets>
  <definedNames>
    <definedName name="_Hlk120792932" localSheetId="0">ข้อมูลรายวิชา!$B$105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0" i="3" l="1"/>
  <c r="I80" i="3"/>
  <c r="F80" i="3" s="1"/>
  <c r="J80" i="3"/>
  <c r="H80" i="3" s="1"/>
  <c r="K80" i="3"/>
  <c r="G80" i="3" s="1"/>
  <c r="E81" i="3"/>
  <c r="I81" i="3"/>
  <c r="F81" i="3" s="1"/>
  <c r="J81" i="3"/>
  <c r="H81" i="3" s="1"/>
  <c r="K81" i="3"/>
  <c r="G81" i="3" s="1"/>
  <c r="E30" i="3"/>
  <c r="I30" i="3"/>
  <c r="F30" i="3" s="1"/>
  <c r="J30" i="3"/>
  <c r="H30" i="3" s="1"/>
  <c r="K30" i="3"/>
  <c r="G30" i="3" s="1"/>
  <c r="E34" i="3"/>
  <c r="I34" i="3"/>
  <c r="F34" i="3" s="1"/>
  <c r="J34" i="3"/>
  <c r="H34" i="3" s="1"/>
  <c r="K34" i="3"/>
  <c r="G34" i="3" s="1"/>
  <c r="E35" i="3"/>
  <c r="I35" i="3"/>
  <c r="F35" i="3" s="1"/>
  <c r="J35" i="3"/>
  <c r="H35" i="3" s="1"/>
  <c r="K35" i="3"/>
  <c r="G35" i="3" s="1"/>
  <c r="E36" i="3"/>
  <c r="I36" i="3"/>
  <c r="F36" i="3" s="1"/>
  <c r="J36" i="3"/>
  <c r="H36" i="3" s="1"/>
  <c r="K36" i="3"/>
  <c r="G36" i="3" s="1"/>
  <c r="E37" i="3"/>
  <c r="I37" i="3"/>
  <c r="F37" i="3" s="1"/>
  <c r="J37" i="3"/>
  <c r="H37" i="3" s="1"/>
  <c r="K37" i="3"/>
  <c r="G37" i="3" s="1"/>
  <c r="E38" i="3"/>
  <c r="I38" i="3"/>
  <c r="F38" i="3" s="1"/>
  <c r="J38" i="3"/>
  <c r="H38" i="3" s="1"/>
  <c r="K38" i="3"/>
  <c r="G38" i="3" s="1"/>
  <c r="E39" i="3"/>
  <c r="I39" i="3"/>
  <c r="F39" i="3" s="1"/>
  <c r="J39" i="3"/>
  <c r="H39" i="3" s="1"/>
  <c r="K39" i="3"/>
  <c r="G39" i="3" s="1"/>
  <c r="E40" i="3"/>
  <c r="I40" i="3"/>
  <c r="F40" i="3" s="1"/>
  <c r="J40" i="3"/>
  <c r="H40" i="3" s="1"/>
  <c r="K40" i="3"/>
  <c r="G40" i="3" s="1"/>
  <c r="E41" i="3"/>
  <c r="I41" i="3"/>
  <c r="F41" i="3" s="1"/>
  <c r="J41" i="3"/>
  <c r="H41" i="3" s="1"/>
  <c r="K41" i="3"/>
  <c r="G41" i="3" s="1"/>
  <c r="E42" i="3"/>
  <c r="I42" i="3"/>
  <c r="F42" i="3" s="1"/>
  <c r="J42" i="3"/>
  <c r="H42" i="3" s="1"/>
  <c r="K42" i="3"/>
  <c r="G42" i="3" s="1"/>
  <c r="E43" i="3"/>
  <c r="I43" i="3"/>
  <c r="F43" i="3" s="1"/>
  <c r="J43" i="3"/>
  <c r="H43" i="3" s="1"/>
  <c r="K43" i="3"/>
  <c r="G43" i="3" s="1"/>
  <c r="E44" i="3"/>
  <c r="I44" i="3"/>
  <c r="F44" i="3" s="1"/>
  <c r="J44" i="3"/>
  <c r="H44" i="3" s="1"/>
  <c r="K44" i="3"/>
  <c r="G44" i="3" s="1"/>
  <c r="E45" i="3"/>
  <c r="I45" i="3"/>
  <c r="F45" i="3" s="1"/>
  <c r="J45" i="3"/>
  <c r="H45" i="3" s="1"/>
  <c r="K45" i="3"/>
  <c r="G45" i="3" s="1"/>
  <c r="E46" i="3"/>
  <c r="I46" i="3"/>
  <c r="F46" i="3" s="1"/>
  <c r="J46" i="3"/>
  <c r="H46" i="3" s="1"/>
  <c r="K46" i="3"/>
  <c r="G46" i="3" s="1"/>
  <c r="E47" i="3"/>
  <c r="I47" i="3"/>
  <c r="F47" i="3" s="1"/>
  <c r="J47" i="3"/>
  <c r="H47" i="3" s="1"/>
  <c r="K47" i="3"/>
  <c r="G47" i="3" s="1"/>
  <c r="E48" i="3"/>
  <c r="I48" i="3"/>
  <c r="F48" i="3" s="1"/>
  <c r="J48" i="3"/>
  <c r="H48" i="3" s="1"/>
  <c r="K48" i="3"/>
  <c r="G48" i="3" s="1"/>
  <c r="E49" i="3"/>
  <c r="I49" i="3"/>
  <c r="F49" i="3" s="1"/>
  <c r="J49" i="3"/>
  <c r="H49" i="3" s="1"/>
  <c r="K49" i="3"/>
  <c r="G49" i="3" s="1"/>
  <c r="E50" i="3"/>
  <c r="I50" i="3"/>
  <c r="F50" i="3" s="1"/>
  <c r="J50" i="3"/>
  <c r="H50" i="3" s="1"/>
  <c r="K50" i="3"/>
  <c r="G50" i="3" s="1"/>
  <c r="E52" i="3"/>
  <c r="I52" i="3"/>
  <c r="F52" i="3" s="1"/>
  <c r="J52" i="3"/>
  <c r="H52" i="3" s="1"/>
  <c r="K52" i="3"/>
  <c r="G52" i="3" s="1"/>
  <c r="E53" i="3"/>
  <c r="I53" i="3"/>
  <c r="F53" i="3" s="1"/>
  <c r="J53" i="3"/>
  <c r="H53" i="3" s="1"/>
  <c r="K53" i="3"/>
  <c r="G53" i="3" s="1"/>
  <c r="E54" i="3"/>
  <c r="I54" i="3"/>
  <c r="F54" i="3" s="1"/>
  <c r="J54" i="3"/>
  <c r="H54" i="3" s="1"/>
  <c r="K54" i="3"/>
  <c r="G54" i="3" s="1"/>
  <c r="E55" i="3"/>
  <c r="I55" i="3"/>
  <c r="F55" i="3" s="1"/>
  <c r="J55" i="3"/>
  <c r="H55" i="3" s="1"/>
  <c r="K55" i="3"/>
  <c r="G55" i="3" s="1"/>
  <c r="E56" i="3"/>
  <c r="I56" i="3"/>
  <c r="F56" i="3" s="1"/>
  <c r="J56" i="3"/>
  <c r="H56" i="3" s="1"/>
  <c r="K56" i="3"/>
  <c r="G56" i="3" s="1"/>
  <c r="E57" i="3"/>
  <c r="I57" i="3"/>
  <c r="F57" i="3" s="1"/>
  <c r="J57" i="3"/>
  <c r="H57" i="3" s="1"/>
  <c r="K57" i="3"/>
  <c r="G57" i="3" s="1"/>
  <c r="E58" i="3"/>
  <c r="I58" i="3"/>
  <c r="F58" i="3" s="1"/>
  <c r="J58" i="3"/>
  <c r="H58" i="3" s="1"/>
  <c r="K58" i="3"/>
  <c r="G58" i="3" s="1"/>
  <c r="E59" i="3"/>
  <c r="I59" i="3"/>
  <c r="F59" i="3" s="1"/>
  <c r="J59" i="3"/>
  <c r="H59" i="3" s="1"/>
  <c r="K59" i="3"/>
  <c r="G59" i="3" s="1"/>
  <c r="E60" i="3"/>
  <c r="I60" i="3"/>
  <c r="F60" i="3" s="1"/>
  <c r="J60" i="3"/>
  <c r="H60" i="3" s="1"/>
  <c r="K60" i="3"/>
  <c r="G60" i="3" s="1"/>
  <c r="E61" i="3"/>
  <c r="I61" i="3"/>
  <c r="F61" i="3" s="1"/>
  <c r="J61" i="3"/>
  <c r="H61" i="3" s="1"/>
  <c r="K61" i="3"/>
  <c r="G61" i="3" s="1"/>
  <c r="E62" i="3"/>
  <c r="I62" i="3"/>
  <c r="F62" i="3" s="1"/>
  <c r="J62" i="3"/>
  <c r="H62" i="3" s="1"/>
  <c r="K62" i="3"/>
  <c r="G62" i="3" s="1"/>
  <c r="E63" i="3"/>
  <c r="I63" i="3"/>
  <c r="F63" i="3" s="1"/>
  <c r="J63" i="3"/>
  <c r="H63" i="3" s="1"/>
  <c r="K63" i="3"/>
  <c r="G63" i="3" s="1"/>
  <c r="E64" i="3"/>
  <c r="I64" i="3"/>
  <c r="F64" i="3" s="1"/>
  <c r="J64" i="3"/>
  <c r="H64" i="3" s="1"/>
  <c r="K64" i="3"/>
  <c r="G64" i="3" s="1"/>
  <c r="E65" i="3"/>
  <c r="I65" i="3"/>
  <c r="F65" i="3" s="1"/>
  <c r="J65" i="3"/>
  <c r="H65" i="3" s="1"/>
  <c r="K65" i="3"/>
  <c r="G65" i="3" s="1"/>
  <c r="E66" i="3"/>
  <c r="I66" i="3"/>
  <c r="F66" i="3" s="1"/>
  <c r="J66" i="3"/>
  <c r="H66" i="3" s="1"/>
  <c r="K66" i="3"/>
  <c r="G66" i="3" s="1"/>
  <c r="E67" i="3"/>
  <c r="I67" i="3"/>
  <c r="F67" i="3" s="1"/>
  <c r="J67" i="3"/>
  <c r="H67" i="3" s="1"/>
  <c r="K67" i="3"/>
  <c r="G67" i="3" s="1"/>
  <c r="E68" i="3"/>
  <c r="I68" i="3"/>
  <c r="F68" i="3" s="1"/>
  <c r="J68" i="3"/>
  <c r="H68" i="3" s="1"/>
  <c r="K68" i="3"/>
  <c r="G68" i="3" s="1"/>
  <c r="E69" i="3"/>
  <c r="I69" i="3"/>
  <c r="F69" i="3" s="1"/>
  <c r="J69" i="3"/>
  <c r="H69" i="3" s="1"/>
  <c r="K69" i="3"/>
  <c r="G69" i="3" s="1"/>
  <c r="E70" i="3"/>
  <c r="I70" i="3"/>
  <c r="F70" i="3" s="1"/>
  <c r="J70" i="3"/>
  <c r="H70" i="3" s="1"/>
  <c r="K70" i="3"/>
  <c r="G70" i="3" s="1"/>
  <c r="E71" i="3"/>
  <c r="I71" i="3"/>
  <c r="F71" i="3" s="1"/>
  <c r="J71" i="3"/>
  <c r="H71" i="3" s="1"/>
  <c r="K71" i="3"/>
  <c r="G71" i="3" s="1"/>
  <c r="E72" i="3"/>
  <c r="I72" i="3"/>
  <c r="F72" i="3" s="1"/>
  <c r="J72" i="3"/>
  <c r="H72" i="3" s="1"/>
  <c r="K72" i="3"/>
  <c r="G72" i="3" s="1"/>
  <c r="E73" i="3"/>
  <c r="I73" i="3"/>
  <c r="F73" i="3" s="1"/>
  <c r="J73" i="3"/>
  <c r="H73" i="3" s="1"/>
  <c r="K73" i="3"/>
  <c r="G73" i="3" s="1"/>
  <c r="E74" i="3"/>
  <c r="I74" i="3"/>
  <c r="F74" i="3" s="1"/>
  <c r="J74" i="3"/>
  <c r="H74" i="3" s="1"/>
  <c r="K74" i="3"/>
  <c r="G74" i="3" s="1"/>
  <c r="E75" i="3"/>
  <c r="I75" i="3"/>
  <c r="F75" i="3" s="1"/>
  <c r="J75" i="3"/>
  <c r="H75" i="3" s="1"/>
  <c r="K75" i="3"/>
  <c r="G75" i="3" s="1"/>
  <c r="E76" i="3"/>
  <c r="I76" i="3"/>
  <c r="F76" i="3" s="1"/>
  <c r="J76" i="3"/>
  <c r="H76" i="3" s="1"/>
  <c r="K76" i="3"/>
  <c r="G76" i="3" s="1"/>
  <c r="E77" i="3"/>
  <c r="I77" i="3"/>
  <c r="F77" i="3" s="1"/>
  <c r="J77" i="3"/>
  <c r="H77" i="3" s="1"/>
  <c r="K77" i="3"/>
  <c r="G77" i="3" s="1"/>
  <c r="E78" i="3"/>
  <c r="I78" i="3"/>
  <c r="F78" i="3" s="1"/>
  <c r="J78" i="3"/>
  <c r="H78" i="3" s="1"/>
  <c r="K78" i="3"/>
  <c r="G78" i="3" s="1"/>
  <c r="E79" i="3"/>
  <c r="I79" i="3"/>
  <c r="F79" i="3" s="1"/>
  <c r="J79" i="3"/>
  <c r="H79" i="3" s="1"/>
  <c r="K79" i="3"/>
  <c r="G79" i="3" s="1"/>
  <c r="E82" i="3"/>
  <c r="I82" i="3"/>
  <c r="F82" i="3" s="1"/>
  <c r="J82" i="3"/>
  <c r="H82" i="3" s="1"/>
  <c r="K82" i="3"/>
  <c r="G82" i="3" s="1"/>
  <c r="E83" i="3"/>
  <c r="I83" i="3"/>
  <c r="F83" i="3" s="1"/>
  <c r="J83" i="3"/>
  <c r="H83" i="3" s="1"/>
  <c r="K83" i="3"/>
  <c r="G83" i="3" s="1"/>
  <c r="E84" i="3"/>
  <c r="I84" i="3"/>
  <c r="F84" i="3" s="1"/>
  <c r="J84" i="3"/>
  <c r="H84" i="3" s="1"/>
  <c r="K84" i="3"/>
  <c r="G84" i="3" s="1"/>
  <c r="E85" i="3"/>
  <c r="I85" i="3"/>
  <c r="F85" i="3" s="1"/>
  <c r="J85" i="3"/>
  <c r="H85" i="3" s="1"/>
  <c r="K85" i="3"/>
  <c r="G85" i="3" s="1"/>
  <c r="E86" i="3"/>
  <c r="I86" i="3"/>
  <c r="F86" i="3" s="1"/>
  <c r="J86" i="3"/>
  <c r="H86" i="3" s="1"/>
  <c r="K86" i="3"/>
  <c r="G86" i="3" s="1"/>
  <c r="E87" i="3"/>
  <c r="I87" i="3"/>
  <c r="F87" i="3" s="1"/>
  <c r="J87" i="3"/>
  <c r="H87" i="3" s="1"/>
  <c r="K87" i="3"/>
  <c r="G87" i="3" s="1"/>
  <c r="E88" i="3"/>
  <c r="I88" i="3"/>
  <c r="F88" i="3" s="1"/>
  <c r="J88" i="3"/>
  <c r="H88" i="3" s="1"/>
  <c r="K88" i="3"/>
  <c r="G88" i="3" s="1"/>
  <c r="E89" i="3"/>
  <c r="I89" i="3"/>
  <c r="F89" i="3" s="1"/>
  <c r="J89" i="3"/>
  <c r="H89" i="3" s="1"/>
  <c r="K89" i="3"/>
  <c r="G89" i="3" s="1"/>
  <c r="E90" i="3"/>
  <c r="I90" i="3"/>
  <c r="F90" i="3" s="1"/>
  <c r="J90" i="3"/>
  <c r="H90" i="3" s="1"/>
  <c r="K90" i="3"/>
  <c r="G90" i="3" s="1"/>
  <c r="E91" i="3"/>
  <c r="I91" i="3"/>
  <c r="F91" i="3" s="1"/>
  <c r="J91" i="3"/>
  <c r="H91" i="3" s="1"/>
  <c r="K91" i="3"/>
  <c r="G91" i="3" s="1"/>
  <c r="E92" i="3"/>
  <c r="I92" i="3"/>
  <c r="F92" i="3" s="1"/>
  <c r="J92" i="3"/>
  <c r="H92" i="3" s="1"/>
  <c r="K92" i="3"/>
  <c r="G92" i="3" s="1"/>
  <c r="E93" i="3"/>
  <c r="I93" i="3"/>
  <c r="F93" i="3" s="1"/>
  <c r="J93" i="3"/>
  <c r="H93" i="3" s="1"/>
  <c r="K93" i="3"/>
  <c r="G93" i="3" s="1"/>
  <c r="E94" i="3"/>
  <c r="I94" i="3"/>
  <c r="F94" i="3" s="1"/>
  <c r="J94" i="3"/>
  <c r="H94" i="3" s="1"/>
  <c r="K94" i="3"/>
  <c r="G94" i="3" s="1"/>
  <c r="E95" i="3"/>
  <c r="I95" i="3"/>
  <c r="F95" i="3" s="1"/>
  <c r="J95" i="3"/>
  <c r="H95" i="3" s="1"/>
  <c r="K95" i="3"/>
  <c r="G95" i="3" s="1"/>
  <c r="E96" i="3"/>
  <c r="I96" i="3"/>
  <c r="F96" i="3" s="1"/>
  <c r="J96" i="3"/>
  <c r="H96" i="3" s="1"/>
  <c r="K96" i="3"/>
  <c r="G96" i="3" s="1"/>
  <c r="E97" i="3"/>
  <c r="I97" i="3"/>
  <c r="F97" i="3" s="1"/>
  <c r="J97" i="3"/>
  <c r="H97" i="3" s="1"/>
  <c r="K97" i="3"/>
  <c r="G97" i="3" s="1"/>
  <c r="E98" i="3"/>
  <c r="I98" i="3"/>
  <c r="F98" i="3" s="1"/>
  <c r="J98" i="3"/>
  <c r="H98" i="3" s="1"/>
  <c r="K98" i="3"/>
  <c r="G98" i="3" s="1"/>
  <c r="E99" i="3"/>
  <c r="I99" i="3"/>
  <c r="F99" i="3" s="1"/>
  <c r="J99" i="3"/>
  <c r="H99" i="3" s="1"/>
  <c r="K99" i="3"/>
  <c r="G99" i="3" s="1"/>
  <c r="E100" i="3"/>
  <c r="I100" i="3"/>
  <c r="F100" i="3" s="1"/>
  <c r="J100" i="3"/>
  <c r="H100" i="3" s="1"/>
  <c r="K100" i="3"/>
  <c r="G100" i="3" s="1"/>
  <c r="E101" i="3"/>
  <c r="I101" i="3"/>
  <c r="F101" i="3" s="1"/>
  <c r="J101" i="3"/>
  <c r="H101" i="3" s="1"/>
  <c r="K101" i="3"/>
  <c r="G101" i="3" s="1"/>
  <c r="E102" i="3"/>
  <c r="I102" i="3"/>
  <c r="F102" i="3" s="1"/>
  <c r="J102" i="3"/>
  <c r="H102" i="3" s="1"/>
  <c r="K102" i="3"/>
  <c r="G102" i="3" s="1"/>
  <c r="E103" i="3"/>
  <c r="I103" i="3"/>
  <c r="F103" i="3" s="1"/>
  <c r="J103" i="3"/>
  <c r="H103" i="3" s="1"/>
  <c r="K103" i="3"/>
  <c r="G103" i="3" s="1"/>
  <c r="E104" i="3"/>
  <c r="I104" i="3"/>
  <c r="F104" i="3" s="1"/>
  <c r="J104" i="3"/>
  <c r="H104" i="3" s="1"/>
  <c r="K104" i="3"/>
  <c r="G104" i="3" s="1"/>
  <c r="E105" i="3"/>
  <c r="I105" i="3"/>
  <c r="F105" i="3" s="1"/>
  <c r="J105" i="3"/>
  <c r="H105" i="3" s="1"/>
  <c r="K105" i="3"/>
  <c r="G105" i="3" s="1"/>
  <c r="E106" i="3"/>
  <c r="I106" i="3"/>
  <c r="F106" i="3" s="1"/>
  <c r="J106" i="3"/>
  <c r="H106" i="3" s="1"/>
  <c r="K106" i="3"/>
  <c r="G106" i="3" s="1"/>
  <c r="E107" i="3"/>
  <c r="I107" i="3"/>
  <c r="F107" i="3" s="1"/>
  <c r="J107" i="3"/>
  <c r="H107" i="3" s="1"/>
  <c r="K107" i="3"/>
  <c r="G107" i="3" s="1"/>
  <c r="E108" i="3"/>
  <c r="I108" i="3"/>
  <c r="F108" i="3" s="1"/>
  <c r="J108" i="3"/>
  <c r="H108" i="3" s="1"/>
  <c r="K108" i="3"/>
  <c r="G108" i="3" s="1"/>
  <c r="E109" i="3"/>
  <c r="I109" i="3"/>
  <c r="F109" i="3" s="1"/>
  <c r="J109" i="3"/>
  <c r="H109" i="3" s="1"/>
  <c r="K109" i="3"/>
  <c r="G109" i="3" s="1"/>
  <c r="E110" i="3"/>
  <c r="I110" i="3"/>
  <c r="F110" i="3" s="1"/>
  <c r="J110" i="3"/>
  <c r="H110" i="3" s="1"/>
  <c r="K110" i="3"/>
  <c r="G110" i="3" s="1"/>
  <c r="E111" i="3"/>
  <c r="I111" i="3"/>
  <c r="F111" i="3" s="1"/>
  <c r="J111" i="3"/>
  <c r="H111" i="3" s="1"/>
  <c r="K111" i="3"/>
  <c r="G111" i="3" s="1"/>
  <c r="E113" i="3"/>
  <c r="I113" i="3"/>
  <c r="F113" i="3" s="1"/>
  <c r="J113" i="3"/>
  <c r="H113" i="3" s="1"/>
  <c r="K113" i="3"/>
  <c r="G113" i="3" s="1"/>
  <c r="E114" i="3"/>
  <c r="I114" i="3"/>
  <c r="F114" i="3" s="1"/>
  <c r="J114" i="3"/>
  <c r="H114" i="3" s="1"/>
  <c r="K114" i="3"/>
  <c r="G114" i="3" s="1"/>
  <c r="E115" i="3"/>
  <c r="I115" i="3"/>
  <c r="F115" i="3" s="1"/>
  <c r="J115" i="3"/>
  <c r="H115" i="3" s="1"/>
  <c r="K115" i="3"/>
  <c r="G115" i="3" s="1"/>
  <c r="E116" i="3"/>
  <c r="I116" i="3"/>
  <c r="F116" i="3" s="1"/>
  <c r="J116" i="3"/>
  <c r="H116" i="3" s="1"/>
  <c r="K116" i="3"/>
  <c r="G116" i="3" s="1"/>
  <c r="E117" i="3"/>
  <c r="I117" i="3"/>
  <c r="F117" i="3" s="1"/>
  <c r="J117" i="3"/>
  <c r="H117" i="3" s="1"/>
  <c r="K117" i="3"/>
  <c r="G117" i="3" s="1"/>
  <c r="E118" i="3"/>
  <c r="I118" i="3"/>
  <c r="F118" i="3" s="1"/>
  <c r="J118" i="3"/>
  <c r="H118" i="3" s="1"/>
  <c r="K118" i="3"/>
  <c r="G118" i="3" s="1"/>
  <c r="E119" i="3"/>
  <c r="I119" i="3"/>
  <c r="F119" i="3" s="1"/>
  <c r="J119" i="3"/>
  <c r="H119" i="3" s="1"/>
  <c r="K119" i="3"/>
  <c r="G119" i="3" s="1"/>
  <c r="E120" i="3"/>
  <c r="I120" i="3"/>
  <c r="F120" i="3" s="1"/>
  <c r="J120" i="3"/>
  <c r="H120" i="3" s="1"/>
  <c r="K120" i="3"/>
  <c r="G120" i="3" s="1"/>
  <c r="E121" i="3"/>
  <c r="I121" i="3"/>
  <c r="F121" i="3" s="1"/>
  <c r="J121" i="3"/>
  <c r="H121" i="3" s="1"/>
  <c r="K121" i="3"/>
  <c r="G121" i="3" s="1"/>
  <c r="E122" i="3"/>
  <c r="I122" i="3"/>
  <c r="F122" i="3" s="1"/>
  <c r="J122" i="3"/>
  <c r="H122" i="3" s="1"/>
  <c r="K122" i="3"/>
  <c r="G122" i="3" s="1"/>
  <c r="E124" i="3"/>
  <c r="I124" i="3"/>
  <c r="F124" i="3" s="1"/>
  <c r="J124" i="3"/>
  <c r="H124" i="3" s="1"/>
  <c r="K124" i="3"/>
  <c r="G124" i="3" s="1"/>
  <c r="E125" i="3"/>
  <c r="I125" i="3"/>
  <c r="F125" i="3" s="1"/>
  <c r="J125" i="3"/>
  <c r="H125" i="3" s="1"/>
  <c r="K125" i="3"/>
  <c r="G125" i="3" s="1"/>
  <c r="E127" i="3"/>
  <c r="I127" i="3"/>
  <c r="F127" i="3" s="1"/>
  <c r="J127" i="3"/>
  <c r="H127" i="3" s="1"/>
  <c r="K127" i="3"/>
  <c r="G127" i="3" s="1"/>
  <c r="E128" i="3"/>
  <c r="I128" i="3"/>
  <c r="F128" i="3" s="1"/>
  <c r="J128" i="3"/>
  <c r="H128" i="3" s="1"/>
  <c r="K128" i="3"/>
  <c r="G128" i="3" s="1"/>
  <c r="E129" i="3"/>
  <c r="I129" i="3"/>
  <c r="F129" i="3" s="1"/>
  <c r="J129" i="3"/>
  <c r="H129" i="3" s="1"/>
  <c r="K129" i="3"/>
  <c r="G129" i="3" s="1"/>
  <c r="E130" i="3"/>
  <c r="I130" i="3"/>
  <c r="F130" i="3" s="1"/>
  <c r="J130" i="3"/>
  <c r="H130" i="3" s="1"/>
  <c r="K130" i="3"/>
  <c r="G130" i="3" s="1"/>
  <c r="E131" i="3"/>
  <c r="I131" i="3"/>
  <c r="F131" i="3" s="1"/>
  <c r="J131" i="3"/>
  <c r="H131" i="3" s="1"/>
  <c r="K131" i="3"/>
  <c r="G131" i="3" s="1"/>
  <c r="E132" i="3"/>
  <c r="I132" i="3"/>
  <c r="F132" i="3" s="1"/>
  <c r="J132" i="3"/>
  <c r="H132" i="3" s="1"/>
  <c r="K132" i="3"/>
  <c r="G132" i="3" s="1"/>
  <c r="E133" i="3"/>
  <c r="I133" i="3"/>
  <c r="F133" i="3" s="1"/>
  <c r="J133" i="3"/>
  <c r="H133" i="3" s="1"/>
  <c r="K133" i="3"/>
  <c r="G133" i="3" s="1"/>
  <c r="E134" i="3"/>
  <c r="I134" i="3"/>
  <c r="F134" i="3" s="1"/>
  <c r="J134" i="3"/>
  <c r="H134" i="3" s="1"/>
  <c r="K134" i="3"/>
  <c r="G134" i="3" s="1"/>
  <c r="E135" i="3"/>
  <c r="I135" i="3"/>
  <c r="F135" i="3" s="1"/>
  <c r="J135" i="3"/>
  <c r="H135" i="3" s="1"/>
  <c r="K135" i="3"/>
  <c r="G135" i="3" s="1"/>
  <c r="E136" i="3"/>
  <c r="I136" i="3"/>
  <c r="F136" i="3" s="1"/>
  <c r="J136" i="3"/>
  <c r="H136" i="3" s="1"/>
  <c r="K136" i="3"/>
  <c r="G136" i="3" s="1"/>
  <c r="E137" i="3"/>
  <c r="I137" i="3"/>
  <c r="F137" i="3" s="1"/>
  <c r="J137" i="3"/>
  <c r="H137" i="3" s="1"/>
  <c r="K137" i="3"/>
  <c r="G137" i="3" s="1"/>
  <c r="E138" i="3"/>
  <c r="I138" i="3"/>
  <c r="F138" i="3" s="1"/>
  <c r="J138" i="3"/>
  <c r="H138" i="3" s="1"/>
  <c r="K138" i="3"/>
  <c r="G138" i="3" s="1"/>
  <c r="E139" i="3"/>
  <c r="I139" i="3"/>
  <c r="F139" i="3" s="1"/>
  <c r="J139" i="3"/>
  <c r="H139" i="3" s="1"/>
  <c r="K139" i="3"/>
  <c r="G139" i="3" s="1"/>
  <c r="E140" i="3"/>
  <c r="I140" i="3"/>
  <c r="F140" i="3" s="1"/>
  <c r="J140" i="3"/>
  <c r="H140" i="3" s="1"/>
  <c r="K140" i="3"/>
  <c r="G140" i="3" s="1"/>
  <c r="E141" i="3"/>
  <c r="I141" i="3"/>
  <c r="F141" i="3" s="1"/>
  <c r="J141" i="3"/>
  <c r="H141" i="3" s="1"/>
  <c r="K141" i="3"/>
  <c r="G141" i="3" s="1"/>
  <c r="E142" i="3"/>
  <c r="I142" i="3"/>
  <c r="F142" i="3" s="1"/>
  <c r="J142" i="3"/>
  <c r="H142" i="3" s="1"/>
  <c r="K142" i="3"/>
  <c r="G142" i="3" s="1"/>
  <c r="E143" i="3"/>
  <c r="I143" i="3"/>
  <c r="F143" i="3" s="1"/>
  <c r="J143" i="3"/>
  <c r="H143" i="3" s="1"/>
  <c r="K143" i="3"/>
  <c r="G143" i="3" s="1"/>
  <c r="I144" i="3"/>
  <c r="F144" i="3" s="1"/>
  <c r="J144" i="3"/>
  <c r="H144" i="3" s="1"/>
  <c r="K144" i="3"/>
  <c r="G144" i="3" s="1"/>
  <c r="E145" i="3"/>
  <c r="E144" i="3" s="1"/>
  <c r="I145" i="3"/>
  <c r="F145" i="3" s="1"/>
  <c r="J145" i="3"/>
  <c r="H145" i="3" s="1"/>
  <c r="K145" i="3"/>
  <c r="G145" i="3" s="1"/>
  <c r="E146" i="3"/>
  <c r="I146" i="3"/>
  <c r="F146" i="3" s="1"/>
  <c r="J146" i="3"/>
  <c r="H146" i="3" s="1"/>
  <c r="K146" i="3"/>
  <c r="G146" i="3" s="1"/>
  <c r="E147" i="3"/>
  <c r="I147" i="3"/>
  <c r="F147" i="3" s="1"/>
  <c r="J147" i="3"/>
  <c r="H147" i="3" s="1"/>
  <c r="K147" i="3"/>
  <c r="G147" i="3" s="1"/>
  <c r="E148" i="3"/>
  <c r="I148" i="3"/>
  <c r="F148" i="3" s="1"/>
  <c r="J148" i="3"/>
  <c r="H148" i="3" s="1"/>
  <c r="K148" i="3"/>
  <c r="G148" i="3" s="1"/>
  <c r="E149" i="3"/>
  <c r="I149" i="3"/>
  <c r="F149" i="3" s="1"/>
  <c r="J149" i="3"/>
  <c r="H149" i="3" s="1"/>
  <c r="K149" i="3"/>
  <c r="G149" i="3" s="1"/>
  <c r="E150" i="3"/>
  <c r="I150" i="3"/>
  <c r="F150" i="3" s="1"/>
  <c r="J150" i="3"/>
  <c r="H150" i="3" s="1"/>
  <c r="K150" i="3"/>
  <c r="G150" i="3" s="1"/>
  <c r="E151" i="3"/>
  <c r="I151" i="3"/>
  <c r="F151" i="3" s="1"/>
  <c r="J151" i="3"/>
  <c r="H151" i="3" s="1"/>
  <c r="K151" i="3"/>
  <c r="G151" i="3" s="1"/>
  <c r="E152" i="3"/>
  <c r="I152" i="3"/>
  <c r="F152" i="3" s="1"/>
  <c r="J152" i="3"/>
  <c r="H152" i="3" s="1"/>
  <c r="K152" i="3"/>
  <c r="G152" i="3" s="1"/>
  <c r="E153" i="3"/>
  <c r="I153" i="3"/>
  <c r="F153" i="3" s="1"/>
  <c r="J153" i="3"/>
  <c r="H153" i="3" s="1"/>
  <c r="K153" i="3"/>
  <c r="G153" i="3" s="1"/>
  <c r="E154" i="3"/>
  <c r="I154" i="3"/>
  <c r="F154" i="3" s="1"/>
  <c r="J154" i="3"/>
  <c r="H154" i="3" s="1"/>
  <c r="K154" i="3"/>
  <c r="G154" i="3" s="1"/>
  <c r="E155" i="3"/>
  <c r="I155" i="3"/>
  <c r="F155" i="3" s="1"/>
  <c r="J155" i="3"/>
  <c r="H155" i="3" s="1"/>
  <c r="K155" i="3"/>
  <c r="G155" i="3" s="1"/>
  <c r="E156" i="3"/>
  <c r="I156" i="3"/>
  <c r="F156" i="3" s="1"/>
  <c r="J156" i="3"/>
  <c r="H156" i="3" s="1"/>
  <c r="K156" i="3"/>
  <c r="G156" i="3" s="1"/>
  <c r="E157" i="3"/>
  <c r="I157" i="3"/>
  <c r="F157" i="3" s="1"/>
  <c r="J157" i="3"/>
  <c r="H157" i="3" s="1"/>
  <c r="K157" i="3"/>
  <c r="G157" i="3" s="1"/>
  <c r="E158" i="3"/>
  <c r="I158" i="3"/>
  <c r="F158" i="3" s="1"/>
  <c r="J158" i="3"/>
  <c r="H158" i="3" s="1"/>
  <c r="K158" i="3"/>
  <c r="G158" i="3" s="1"/>
  <c r="E159" i="3"/>
  <c r="I159" i="3"/>
  <c r="F159" i="3" s="1"/>
  <c r="J159" i="3"/>
  <c r="H159" i="3" s="1"/>
  <c r="K159" i="3"/>
  <c r="G159" i="3" s="1"/>
  <c r="E160" i="3"/>
  <c r="I160" i="3"/>
  <c r="F160" i="3" s="1"/>
  <c r="J160" i="3"/>
  <c r="H160" i="3" s="1"/>
  <c r="K160" i="3"/>
  <c r="G160" i="3" s="1"/>
  <c r="E161" i="3"/>
  <c r="I161" i="3"/>
  <c r="F161" i="3" s="1"/>
  <c r="J161" i="3"/>
  <c r="H161" i="3" s="1"/>
  <c r="K161" i="3"/>
  <c r="G161" i="3" s="1"/>
  <c r="E162" i="3"/>
  <c r="I162" i="3"/>
  <c r="F162" i="3" s="1"/>
  <c r="J162" i="3"/>
  <c r="H162" i="3" s="1"/>
  <c r="K162" i="3"/>
  <c r="G162" i="3" s="1"/>
  <c r="E164" i="3"/>
  <c r="I164" i="3"/>
  <c r="F164" i="3" s="1"/>
  <c r="J164" i="3"/>
  <c r="H164" i="3" s="1"/>
  <c r="K164" i="3"/>
  <c r="G164" i="3" s="1"/>
  <c r="E165" i="3"/>
  <c r="I165" i="3"/>
  <c r="F165" i="3" s="1"/>
  <c r="J165" i="3"/>
  <c r="H165" i="3" s="1"/>
  <c r="K165" i="3"/>
  <c r="G165" i="3" s="1"/>
  <c r="E166" i="3"/>
  <c r="I166" i="3"/>
  <c r="F166" i="3" s="1"/>
  <c r="J166" i="3"/>
  <c r="H166" i="3" s="1"/>
  <c r="K166" i="3"/>
  <c r="G166" i="3" s="1"/>
  <c r="E167" i="3"/>
  <c r="I167" i="3"/>
  <c r="F167" i="3" s="1"/>
  <c r="J167" i="3"/>
  <c r="H167" i="3" s="1"/>
  <c r="K167" i="3"/>
  <c r="G167" i="3" s="1"/>
  <c r="E168" i="3"/>
  <c r="I168" i="3"/>
  <c r="F168" i="3" s="1"/>
  <c r="J168" i="3"/>
  <c r="H168" i="3" s="1"/>
  <c r="K168" i="3"/>
  <c r="G168" i="3" s="1"/>
  <c r="E169" i="3"/>
  <c r="I169" i="3"/>
  <c r="F169" i="3" s="1"/>
  <c r="J169" i="3"/>
  <c r="H169" i="3" s="1"/>
  <c r="K169" i="3"/>
  <c r="G169" i="3" s="1"/>
  <c r="E170" i="3"/>
  <c r="I170" i="3"/>
  <c r="F170" i="3" s="1"/>
  <c r="J170" i="3"/>
  <c r="H170" i="3" s="1"/>
  <c r="K170" i="3"/>
  <c r="G170" i="3" s="1"/>
  <c r="E171" i="3"/>
  <c r="I171" i="3"/>
  <c r="F171" i="3" s="1"/>
  <c r="J171" i="3"/>
  <c r="H171" i="3" s="1"/>
  <c r="K171" i="3"/>
  <c r="G171" i="3" s="1"/>
  <c r="E173" i="3"/>
  <c r="I173" i="3"/>
  <c r="F173" i="3" s="1"/>
  <c r="J173" i="3"/>
  <c r="H173" i="3" s="1"/>
  <c r="K173" i="3"/>
  <c r="G173" i="3" s="1"/>
  <c r="E174" i="3"/>
  <c r="I174" i="3"/>
  <c r="F174" i="3" s="1"/>
  <c r="J174" i="3"/>
  <c r="H174" i="3" s="1"/>
  <c r="K174" i="3"/>
  <c r="G174" i="3" s="1"/>
  <c r="E176" i="3"/>
  <c r="I176" i="3"/>
  <c r="F176" i="3" s="1"/>
  <c r="J176" i="3"/>
  <c r="H176" i="3" s="1"/>
  <c r="K176" i="3"/>
  <c r="G176" i="3" s="1"/>
  <c r="E177" i="3"/>
  <c r="I177" i="3"/>
  <c r="F177" i="3" s="1"/>
  <c r="J177" i="3"/>
  <c r="H177" i="3" s="1"/>
  <c r="K177" i="3"/>
  <c r="G177" i="3" s="1"/>
  <c r="E178" i="3"/>
  <c r="I178" i="3"/>
  <c r="F178" i="3" s="1"/>
  <c r="J178" i="3"/>
  <c r="H178" i="3" s="1"/>
  <c r="K178" i="3"/>
  <c r="G178" i="3" s="1"/>
  <c r="E179" i="3"/>
  <c r="I179" i="3"/>
  <c r="F179" i="3" s="1"/>
  <c r="J179" i="3"/>
  <c r="H179" i="3" s="1"/>
  <c r="K179" i="3"/>
  <c r="G179" i="3" s="1"/>
  <c r="E180" i="3"/>
  <c r="I180" i="3"/>
  <c r="F180" i="3" s="1"/>
  <c r="J180" i="3"/>
  <c r="H180" i="3" s="1"/>
  <c r="K180" i="3"/>
  <c r="G180" i="3" s="1"/>
  <c r="E181" i="3"/>
  <c r="I181" i="3"/>
  <c r="F181" i="3" s="1"/>
  <c r="J181" i="3"/>
  <c r="H181" i="3" s="1"/>
  <c r="K181" i="3"/>
  <c r="G181" i="3" s="1"/>
  <c r="E182" i="3"/>
  <c r="I182" i="3"/>
  <c r="F182" i="3" s="1"/>
  <c r="J182" i="3"/>
  <c r="H182" i="3" s="1"/>
  <c r="K182" i="3"/>
  <c r="G182" i="3" s="1"/>
  <c r="E183" i="3"/>
  <c r="I183" i="3"/>
  <c r="F183" i="3" s="1"/>
  <c r="J183" i="3"/>
  <c r="H183" i="3" s="1"/>
  <c r="K183" i="3"/>
  <c r="G183" i="3" s="1"/>
  <c r="E184" i="3"/>
  <c r="I184" i="3"/>
  <c r="F184" i="3" s="1"/>
  <c r="J184" i="3"/>
  <c r="H184" i="3" s="1"/>
  <c r="K184" i="3"/>
  <c r="G184" i="3" s="1"/>
  <c r="E185" i="3"/>
  <c r="I185" i="3"/>
  <c r="F185" i="3" s="1"/>
  <c r="J185" i="3"/>
  <c r="H185" i="3" s="1"/>
  <c r="K185" i="3"/>
  <c r="G185" i="3" s="1"/>
  <c r="E186" i="3"/>
  <c r="I186" i="3"/>
  <c r="F186" i="3" s="1"/>
  <c r="J186" i="3"/>
  <c r="H186" i="3" s="1"/>
  <c r="K186" i="3"/>
  <c r="G186" i="3" s="1"/>
  <c r="E187" i="3"/>
  <c r="I187" i="3"/>
  <c r="F187" i="3" s="1"/>
  <c r="J187" i="3"/>
  <c r="H187" i="3" s="1"/>
  <c r="K187" i="3"/>
  <c r="G187" i="3" s="1"/>
  <c r="E188" i="3"/>
  <c r="I188" i="3"/>
  <c r="F188" i="3" s="1"/>
  <c r="J188" i="3"/>
  <c r="H188" i="3" s="1"/>
  <c r="K188" i="3"/>
  <c r="G188" i="3" s="1"/>
  <c r="E189" i="3"/>
  <c r="I189" i="3"/>
  <c r="F189" i="3" s="1"/>
  <c r="J189" i="3"/>
  <c r="H189" i="3" s="1"/>
  <c r="K189" i="3"/>
  <c r="G189" i="3" s="1"/>
  <c r="E190" i="3"/>
  <c r="I190" i="3"/>
  <c r="F190" i="3" s="1"/>
  <c r="J190" i="3"/>
  <c r="H190" i="3" s="1"/>
  <c r="K190" i="3"/>
  <c r="G190" i="3" s="1"/>
  <c r="E191" i="3"/>
  <c r="I191" i="3"/>
  <c r="F191" i="3" s="1"/>
  <c r="J191" i="3"/>
  <c r="H191" i="3" s="1"/>
  <c r="K191" i="3"/>
  <c r="G191" i="3" s="1"/>
  <c r="E192" i="3"/>
  <c r="I192" i="3"/>
  <c r="F192" i="3" s="1"/>
  <c r="J192" i="3"/>
  <c r="H192" i="3" s="1"/>
  <c r="K192" i="3"/>
  <c r="G192" i="3" s="1"/>
  <c r="E193" i="3"/>
  <c r="I193" i="3"/>
  <c r="F193" i="3" s="1"/>
  <c r="J193" i="3"/>
  <c r="H193" i="3" s="1"/>
  <c r="K193" i="3"/>
  <c r="G193" i="3" s="1"/>
  <c r="E194" i="3"/>
  <c r="I194" i="3"/>
  <c r="F194" i="3" s="1"/>
  <c r="J194" i="3"/>
  <c r="H194" i="3" s="1"/>
  <c r="K194" i="3"/>
  <c r="G194" i="3" s="1"/>
  <c r="E195" i="3"/>
  <c r="I195" i="3"/>
  <c r="F195" i="3" s="1"/>
  <c r="J195" i="3"/>
  <c r="H195" i="3" s="1"/>
  <c r="K195" i="3"/>
  <c r="G195" i="3" s="1"/>
  <c r="E196" i="3"/>
  <c r="I196" i="3"/>
  <c r="F196" i="3" s="1"/>
  <c r="J196" i="3"/>
  <c r="H196" i="3" s="1"/>
  <c r="K196" i="3"/>
  <c r="G196" i="3" s="1"/>
  <c r="E197" i="3"/>
  <c r="I197" i="3"/>
  <c r="F197" i="3" s="1"/>
  <c r="J197" i="3"/>
  <c r="H197" i="3" s="1"/>
  <c r="K197" i="3"/>
  <c r="G197" i="3" s="1"/>
  <c r="E198" i="3"/>
  <c r="I198" i="3"/>
  <c r="F198" i="3" s="1"/>
  <c r="J198" i="3"/>
  <c r="H198" i="3" s="1"/>
  <c r="K198" i="3"/>
  <c r="G198" i="3" s="1"/>
  <c r="E199" i="3"/>
  <c r="I199" i="3"/>
  <c r="F199" i="3" s="1"/>
  <c r="J199" i="3"/>
  <c r="H199" i="3" s="1"/>
  <c r="K199" i="3"/>
  <c r="G199" i="3" s="1"/>
  <c r="E200" i="3"/>
  <c r="I200" i="3"/>
  <c r="F200" i="3" s="1"/>
  <c r="J200" i="3"/>
  <c r="H200" i="3" s="1"/>
  <c r="K200" i="3"/>
  <c r="G200" i="3" s="1"/>
  <c r="E202" i="3"/>
  <c r="I202" i="3"/>
  <c r="F202" i="3" s="1"/>
  <c r="J202" i="3"/>
  <c r="H202" i="3" s="1"/>
  <c r="K202" i="3"/>
  <c r="G202" i="3" s="1"/>
  <c r="E203" i="3"/>
  <c r="I203" i="3"/>
  <c r="F203" i="3" s="1"/>
  <c r="J203" i="3"/>
  <c r="H203" i="3" s="1"/>
  <c r="K203" i="3"/>
  <c r="G203" i="3" s="1"/>
  <c r="E204" i="3"/>
  <c r="I204" i="3"/>
  <c r="F204" i="3" s="1"/>
  <c r="J204" i="3"/>
  <c r="H204" i="3" s="1"/>
  <c r="K204" i="3"/>
  <c r="G204" i="3" s="1"/>
  <c r="E205" i="3"/>
  <c r="I205" i="3"/>
  <c r="F205" i="3" s="1"/>
  <c r="J205" i="3"/>
  <c r="H205" i="3" s="1"/>
  <c r="K205" i="3"/>
  <c r="G205" i="3" s="1"/>
  <c r="E206" i="3"/>
  <c r="I206" i="3"/>
  <c r="F206" i="3" s="1"/>
  <c r="J206" i="3"/>
  <c r="H206" i="3" s="1"/>
  <c r="K206" i="3"/>
  <c r="G206" i="3" s="1"/>
  <c r="E207" i="3"/>
  <c r="I207" i="3"/>
  <c r="F207" i="3" s="1"/>
  <c r="J207" i="3"/>
  <c r="H207" i="3" s="1"/>
  <c r="K207" i="3"/>
  <c r="G207" i="3" s="1"/>
  <c r="E208" i="3"/>
  <c r="I208" i="3"/>
  <c r="F208" i="3" s="1"/>
  <c r="J208" i="3"/>
  <c r="H208" i="3" s="1"/>
  <c r="K208" i="3"/>
  <c r="G208" i="3" s="1"/>
  <c r="E209" i="3"/>
  <c r="I209" i="3"/>
  <c r="F209" i="3" s="1"/>
  <c r="J209" i="3"/>
  <c r="H209" i="3" s="1"/>
  <c r="K209" i="3"/>
  <c r="G209" i="3" s="1"/>
  <c r="E210" i="3"/>
  <c r="I210" i="3"/>
  <c r="F210" i="3" s="1"/>
  <c r="J210" i="3"/>
  <c r="H210" i="3" s="1"/>
  <c r="K210" i="3"/>
  <c r="G210" i="3" s="1"/>
  <c r="E211" i="3"/>
  <c r="I211" i="3"/>
  <c r="F211" i="3" s="1"/>
  <c r="J211" i="3"/>
  <c r="H211" i="3" s="1"/>
  <c r="K211" i="3"/>
  <c r="G211" i="3" s="1"/>
  <c r="E212" i="3"/>
  <c r="I212" i="3"/>
  <c r="F212" i="3" s="1"/>
  <c r="J212" i="3"/>
  <c r="H212" i="3" s="1"/>
  <c r="K212" i="3"/>
  <c r="G212" i="3" s="1"/>
  <c r="E215" i="3"/>
  <c r="I215" i="3"/>
  <c r="F215" i="3" s="1"/>
  <c r="J215" i="3"/>
  <c r="H215" i="3" s="1"/>
  <c r="K215" i="3"/>
  <c r="G215" i="3" s="1"/>
  <c r="E216" i="3"/>
  <c r="I216" i="3"/>
  <c r="F216" i="3" s="1"/>
  <c r="J216" i="3"/>
  <c r="H216" i="3" s="1"/>
  <c r="K216" i="3"/>
  <c r="G216" i="3" s="1"/>
  <c r="E217" i="3"/>
  <c r="I217" i="3"/>
  <c r="F217" i="3" s="1"/>
  <c r="J217" i="3"/>
  <c r="H217" i="3" s="1"/>
  <c r="K217" i="3"/>
  <c r="G217" i="3" s="1"/>
  <c r="E218" i="3"/>
  <c r="I218" i="3"/>
  <c r="F218" i="3" s="1"/>
  <c r="J218" i="3"/>
  <c r="H218" i="3" s="1"/>
  <c r="K218" i="3"/>
  <c r="G218" i="3" s="1"/>
  <c r="E219" i="3"/>
  <c r="I219" i="3"/>
  <c r="F219" i="3" s="1"/>
  <c r="J219" i="3"/>
  <c r="H219" i="3" s="1"/>
  <c r="K219" i="3"/>
  <c r="G219" i="3" s="1"/>
  <c r="E220" i="3"/>
  <c r="I220" i="3"/>
  <c r="F220" i="3" s="1"/>
  <c r="J220" i="3"/>
  <c r="H220" i="3" s="1"/>
  <c r="K220" i="3"/>
  <c r="G220" i="3" s="1"/>
  <c r="E221" i="3"/>
  <c r="I221" i="3"/>
  <c r="F221" i="3" s="1"/>
  <c r="J221" i="3"/>
  <c r="H221" i="3" s="1"/>
  <c r="K221" i="3"/>
  <c r="G221" i="3" s="1"/>
  <c r="E222" i="3"/>
  <c r="I222" i="3"/>
  <c r="F222" i="3" s="1"/>
  <c r="J222" i="3"/>
  <c r="H222" i="3" s="1"/>
  <c r="K222" i="3"/>
  <c r="G222" i="3" s="1"/>
  <c r="E223" i="3"/>
  <c r="I223" i="3"/>
  <c r="F223" i="3" s="1"/>
  <c r="J223" i="3"/>
  <c r="H223" i="3" s="1"/>
  <c r="K223" i="3"/>
  <c r="G223" i="3" s="1"/>
  <c r="E224" i="3"/>
  <c r="I224" i="3"/>
  <c r="F224" i="3" s="1"/>
  <c r="J224" i="3"/>
  <c r="H224" i="3" s="1"/>
  <c r="K224" i="3"/>
  <c r="G224" i="3" s="1"/>
  <c r="E225" i="3"/>
  <c r="I225" i="3"/>
  <c r="F225" i="3" s="1"/>
  <c r="J225" i="3"/>
  <c r="H225" i="3" s="1"/>
  <c r="K225" i="3"/>
  <c r="G225" i="3" s="1"/>
  <c r="E226" i="3"/>
  <c r="I226" i="3"/>
  <c r="F226" i="3" s="1"/>
  <c r="J226" i="3"/>
  <c r="H226" i="3" s="1"/>
  <c r="K226" i="3"/>
  <c r="G226" i="3" s="1"/>
  <c r="E227" i="3"/>
  <c r="I227" i="3"/>
  <c r="F227" i="3" s="1"/>
  <c r="J227" i="3"/>
  <c r="H227" i="3" s="1"/>
  <c r="K227" i="3"/>
  <c r="G227" i="3" s="1"/>
  <c r="E228" i="3"/>
  <c r="I228" i="3"/>
  <c r="F228" i="3" s="1"/>
  <c r="J228" i="3"/>
  <c r="H228" i="3" s="1"/>
  <c r="K228" i="3"/>
  <c r="G228" i="3" s="1"/>
  <c r="E229" i="3"/>
  <c r="I229" i="3"/>
  <c r="F229" i="3" s="1"/>
  <c r="J229" i="3"/>
  <c r="H229" i="3" s="1"/>
  <c r="K229" i="3"/>
  <c r="G229" i="3" s="1"/>
  <c r="E230" i="3"/>
  <c r="I230" i="3"/>
  <c r="F230" i="3" s="1"/>
  <c r="J230" i="3"/>
  <c r="H230" i="3" s="1"/>
  <c r="K230" i="3"/>
  <c r="G230" i="3" s="1"/>
  <c r="E231" i="3"/>
  <c r="I231" i="3"/>
  <c r="F231" i="3" s="1"/>
  <c r="J231" i="3"/>
  <c r="H231" i="3" s="1"/>
  <c r="K231" i="3"/>
  <c r="G231" i="3" s="1"/>
  <c r="E232" i="3"/>
  <c r="I232" i="3"/>
  <c r="F232" i="3" s="1"/>
  <c r="J232" i="3"/>
  <c r="H232" i="3" s="1"/>
  <c r="K232" i="3"/>
  <c r="G232" i="3" s="1"/>
  <c r="E233" i="3"/>
  <c r="I233" i="3"/>
  <c r="F233" i="3" s="1"/>
  <c r="J233" i="3"/>
  <c r="H233" i="3" s="1"/>
  <c r="K233" i="3"/>
  <c r="G233" i="3" s="1"/>
  <c r="E234" i="3"/>
  <c r="I234" i="3"/>
  <c r="F234" i="3" s="1"/>
  <c r="J234" i="3"/>
  <c r="H234" i="3" s="1"/>
  <c r="K234" i="3"/>
  <c r="G234" i="3" s="1"/>
  <c r="E235" i="3"/>
  <c r="I235" i="3"/>
  <c r="F235" i="3" s="1"/>
  <c r="J235" i="3"/>
  <c r="H235" i="3" s="1"/>
  <c r="K235" i="3"/>
  <c r="G235" i="3" s="1"/>
  <c r="E236" i="3"/>
  <c r="I236" i="3"/>
  <c r="F236" i="3" s="1"/>
  <c r="J236" i="3"/>
  <c r="H236" i="3" s="1"/>
  <c r="K236" i="3"/>
  <c r="G236" i="3" s="1"/>
  <c r="E237" i="3"/>
  <c r="I237" i="3"/>
  <c r="F237" i="3" s="1"/>
  <c r="J237" i="3"/>
  <c r="H237" i="3" s="1"/>
  <c r="K237" i="3"/>
  <c r="G237" i="3" s="1"/>
  <c r="E238" i="3"/>
  <c r="I238" i="3"/>
  <c r="F238" i="3" s="1"/>
  <c r="J238" i="3"/>
  <c r="H238" i="3" s="1"/>
  <c r="K238" i="3"/>
  <c r="G238" i="3" s="1"/>
  <c r="E239" i="3"/>
  <c r="I239" i="3"/>
  <c r="F239" i="3" s="1"/>
  <c r="J239" i="3"/>
  <c r="H239" i="3" s="1"/>
  <c r="K239" i="3"/>
  <c r="G239" i="3" s="1"/>
  <c r="E240" i="3"/>
  <c r="I240" i="3"/>
  <c r="F240" i="3" s="1"/>
  <c r="J240" i="3"/>
  <c r="H240" i="3" s="1"/>
  <c r="K240" i="3"/>
  <c r="G240" i="3" s="1"/>
  <c r="E241" i="3"/>
  <c r="I241" i="3"/>
  <c r="F241" i="3" s="1"/>
  <c r="J241" i="3"/>
  <c r="H241" i="3" s="1"/>
  <c r="K241" i="3"/>
  <c r="G241" i="3" s="1"/>
  <c r="E242" i="3"/>
  <c r="I242" i="3"/>
  <c r="F242" i="3" s="1"/>
  <c r="J242" i="3"/>
  <c r="H242" i="3" s="1"/>
  <c r="K242" i="3"/>
  <c r="G242" i="3" s="1"/>
  <c r="E243" i="3"/>
  <c r="I243" i="3"/>
  <c r="F243" i="3" s="1"/>
  <c r="J243" i="3"/>
  <c r="H243" i="3" s="1"/>
  <c r="K243" i="3"/>
  <c r="G243" i="3" s="1"/>
  <c r="E244" i="3"/>
  <c r="I244" i="3"/>
  <c r="F244" i="3" s="1"/>
  <c r="J244" i="3"/>
  <c r="H244" i="3" s="1"/>
  <c r="K244" i="3"/>
  <c r="G244" i="3" s="1"/>
  <c r="E245" i="3"/>
  <c r="I245" i="3"/>
  <c r="F245" i="3" s="1"/>
  <c r="J245" i="3"/>
  <c r="H245" i="3" s="1"/>
  <c r="K245" i="3"/>
  <c r="G245" i="3" s="1"/>
  <c r="E246" i="3"/>
  <c r="I246" i="3"/>
  <c r="F246" i="3" s="1"/>
  <c r="J246" i="3"/>
  <c r="H246" i="3" s="1"/>
  <c r="K246" i="3"/>
  <c r="G246" i="3" s="1"/>
  <c r="E247" i="3"/>
  <c r="I247" i="3"/>
  <c r="F247" i="3" s="1"/>
  <c r="J247" i="3"/>
  <c r="H247" i="3" s="1"/>
  <c r="K247" i="3"/>
  <c r="G247" i="3" s="1"/>
  <c r="E248" i="3"/>
  <c r="I248" i="3"/>
  <c r="F248" i="3" s="1"/>
  <c r="J248" i="3"/>
  <c r="H248" i="3" s="1"/>
  <c r="K248" i="3"/>
  <c r="G248" i="3" s="1"/>
  <c r="E249" i="3"/>
  <c r="I249" i="3"/>
  <c r="F249" i="3" s="1"/>
  <c r="J249" i="3"/>
  <c r="H249" i="3" s="1"/>
  <c r="K249" i="3"/>
  <c r="G249" i="3" s="1"/>
  <c r="E250" i="3"/>
  <c r="I250" i="3"/>
  <c r="F250" i="3" s="1"/>
  <c r="J250" i="3"/>
  <c r="H250" i="3" s="1"/>
  <c r="K250" i="3"/>
  <c r="G250" i="3" s="1"/>
  <c r="E251" i="3"/>
  <c r="I251" i="3"/>
  <c r="F251" i="3" s="1"/>
  <c r="J251" i="3"/>
  <c r="H251" i="3" s="1"/>
  <c r="K251" i="3"/>
  <c r="G251" i="3" s="1"/>
  <c r="E252" i="3"/>
  <c r="I252" i="3"/>
  <c r="F252" i="3" s="1"/>
  <c r="J252" i="3"/>
  <c r="H252" i="3" s="1"/>
  <c r="K252" i="3"/>
  <c r="G252" i="3" s="1"/>
  <c r="E253" i="3"/>
  <c r="I253" i="3"/>
  <c r="F253" i="3" s="1"/>
  <c r="J253" i="3"/>
  <c r="H253" i="3" s="1"/>
  <c r="K253" i="3"/>
  <c r="G253" i="3" s="1"/>
  <c r="E255" i="3"/>
  <c r="I255" i="3"/>
  <c r="F255" i="3" s="1"/>
  <c r="J255" i="3"/>
  <c r="H255" i="3" s="1"/>
  <c r="K255" i="3"/>
  <c r="G255" i="3" s="1"/>
  <c r="E256" i="3"/>
  <c r="I256" i="3"/>
  <c r="F256" i="3" s="1"/>
  <c r="J256" i="3"/>
  <c r="H256" i="3" s="1"/>
  <c r="K256" i="3"/>
  <c r="G256" i="3" s="1"/>
  <c r="E257" i="3"/>
  <c r="I257" i="3"/>
  <c r="F257" i="3" s="1"/>
  <c r="J257" i="3"/>
  <c r="H257" i="3" s="1"/>
  <c r="K257" i="3"/>
  <c r="G257" i="3" s="1"/>
  <c r="E258" i="3"/>
  <c r="I258" i="3"/>
  <c r="F258" i="3" s="1"/>
  <c r="J258" i="3"/>
  <c r="H258" i="3" s="1"/>
  <c r="K258" i="3"/>
  <c r="G258" i="3" s="1"/>
  <c r="E259" i="3"/>
  <c r="I259" i="3"/>
  <c r="F259" i="3" s="1"/>
  <c r="J259" i="3"/>
  <c r="H259" i="3" s="1"/>
  <c r="K259" i="3"/>
  <c r="G259" i="3" s="1"/>
  <c r="E260" i="3"/>
  <c r="I260" i="3"/>
  <c r="F260" i="3" s="1"/>
  <c r="J260" i="3"/>
  <c r="H260" i="3" s="1"/>
  <c r="K260" i="3"/>
  <c r="G260" i="3" s="1"/>
  <c r="E261" i="3"/>
  <c r="I261" i="3"/>
  <c r="F261" i="3" s="1"/>
  <c r="J261" i="3"/>
  <c r="H261" i="3" s="1"/>
  <c r="K261" i="3"/>
  <c r="G261" i="3" s="1"/>
  <c r="E262" i="3"/>
  <c r="I262" i="3"/>
  <c r="F262" i="3" s="1"/>
  <c r="J262" i="3"/>
  <c r="H262" i="3" s="1"/>
  <c r="K262" i="3"/>
  <c r="G262" i="3" s="1"/>
  <c r="E263" i="3"/>
  <c r="I263" i="3"/>
  <c r="F263" i="3" s="1"/>
  <c r="J263" i="3"/>
  <c r="H263" i="3" s="1"/>
  <c r="K263" i="3"/>
  <c r="G263" i="3" s="1"/>
  <c r="E264" i="3"/>
  <c r="I264" i="3"/>
  <c r="F264" i="3" s="1"/>
  <c r="J264" i="3"/>
  <c r="H264" i="3" s="1"/>
  <c r="K264" i="3"/>
  <c r="G264" i="3" s="1"/>
  <c r="E266" i="3"/>
  <c r="I266" i="3"/>
  <c r="F266" i="3" s="1"/>
  <c r="J266" i="3"/>
  <c r="H266" i="3" s="1"/>
  <c r="K266" i="3"/>
  <c r="G266" i="3" s="1"/>
  <c r="E267" i="3"/>
  <c r="I267" i="3"/>
  <c r="F267" i="3" s="1"/>
  <c r="J267" i="3"/>
  <c r="H267" i="3" s="1"/>
  <c r="K267" i="3"/>
  <c r="G267" i="3" s="1"/>
  <c r="E269" i="3"/>
  <c r="I269" i="3"/>
  <c r="F269" i="3" s="1"/>
  <c r="J269" i="3"/>
  <c r="H269" i="3" s="1"/>
  <c r="K269" i="3"/>
  <c r="G269" i="3" s="1"/>
  <c r="E270" i="3"/>
  <c r="I270" i="3"/>
  <c r="F270" i="3" s="1"/>
  <c r="J270" i="3"/>
  <c r="H270" i="3" s="1"/>
  <c r="K270" i="3"/>
  <c r="G270" i="3" s="1"/>
  <c r="E271" i="3"/>
  <c r="I271" i="3"/>
  <c r="F271" i="3" s="1"/>
  <c r="J271" i="3"/>
  <c r="H271" i="3" s="1"/>
  <c r="K271" i="3"/>
  <c r="G271" i="3" s="1"/>
  <c r="E272" i="3"/>
  <c r="I272" i="3"/>
  <c r="F272" i="3" s="1"/>
  <c r="J272" i="3"/>
  <c r="H272" i="3" s="1"/>
  <c r="K272" i="3"/>
  <c r="G272" i="3" s="1"/>
  <c r="E273" i="3"/>
  <c r="I273" i="3"/>
  <c r="F273" i="3" s="1"/>
  <c r="J273" i="3"/>
  <c r="H273" i="3" s="1"/>
  <c r="K273" i="3"/>
  <c r="G273" i="3" s="1"/>
  <c r="E274" i="3"/>
  <c r="I274" i="3"/>
  <c r="F274" i="3" s="1"/>
  <c r="J274" i="3"/>
  <c r="H274" i="3" s="1"/>
  <c r="K274" i="3"/>
  <c r="G274" i="3" s="1"/>
  <c r="E275" i="3"/>
  <c r="I275" i="3"/>
  <c r="F275" i="3" s="1"/>
  <c r="J275" i="3"/>
  <c r="H275" i="3" s="1"/>
  <c r="K275" i="3"/>
  <c r="G275" i="3" s="1"/>
  <c r="E276" i="3"/>
  <c r="I276" i="3"/>
  <c r="F276" i="3" s="1"/>
  <c r="J276" i="3"/>
  <c r="H276" i="3" s="1"/>
  <c r="K276" i="3"/>
  <c r="G276" i="3" s="1"/>
  <c r="E277" i="3"/>
  <c r="I277" i="3"/>
  <c r="F277" i="3" s="1"/>
  <c r="J277" i="3"/>
  <c r="H277" i="3" s="1"/>
  <c r="K277" i="3"/>
  <c r="G277" i="3" s="1"/>
  <c r="E278" i="3"/>
  <c r="I278" i="3"/>
  <c r="F278" i="3" s="1"/>
  <c r="J278" i="3"/>
  <c r="H278" i="3" s="1"/>
  <c r="K278" i="3"/>
  <c r="G278" i="3" s="1"/>
  <c r="E279" i="3"/>
  <c r="I279" i="3"/>
  <c r="F279" i="3" s="1"/>
  <c r="J279" i="3"/>
  <c r="H279" i="3" s="1"/>
  <c r="K279" i="3"/>
  <c r="G279" i="3" s="1"/>
  <c r="E280" i="3"/>
  <c r="I280" i="3"/>
  <c r="F280" i="3" s="1"/>
  <c r="J280" i="3"/>
  <c r="H280" i="3" s="1"/>
  <c r="K280" i="3"/>
  <c r="G280" i="3" s="1"/>
  <c r="E281" i="3"/>
  <c r="I281" i="3"/>
  <c r="F281" i="3" s="1"/>
  <c r="J281" i="3"/>
  <c r="H281" i="3" s="1"/>
  <c r="K281" i="3"/>
  <c r="G281" i="3" s="1"/>
  <c r="E282" i="3"/>
  <c r="I282" i="3"/>
  <c r="F282" i="3" s="1"/>
  <c r="J282" i="3"/>
  <c r="H282" i="3" s="1"/>
  <c r="K282" i="3"/>
  <c r="G282" i="3" s="1"/>
  <c r="E283" i="3"/>
  <c r="I283" i="3"/>
  <c r="F283" i="3" s="1"/>
  <c r="J283" i="3"/>
  <c r="H283" i="3" s="1"/>
  <c r="K283" i="3"/>
  <c r="G283" i="3" s="1"/>
  <c r="E284" i="3"/>
  <c r="I284" i="3"/>
  <c r="F284" i="3" s="1"/>
  <c r="J284" i="3"/>
  <c r="H284" i="3" s="1"/>
  <c r="K284" i="3"/>
  <c r="G284" i="3" s="1"/>
  <c r="E285" i="3"/>
  <c r="I285" i="3"/>
  <c r="F285" i="3" s="1"/>
  <c r="J285" i="3"/>
  <c r="H285" i="3" s="1"/>
  <c r="K285" i="3"/>
  <c r="G285" i="3" s="1"/>
  <c r="E286" i="3"/>
  <c r="I286" i="3"/>
  <c r="F286" i="3" s="1"/>
  <c r="J286" i="3"/>
  <c r="H286" i="3" s="1"/>
  <c r="K286" i="3"/>
  <c r="G286" i="3" s="1"/>
  <c r="E287" i="3"/>
  <c r="I287" i="3"/>
  <c r="F287" i="3" s="1"/>
  <c r="J287" i="3"/>
  <c r="H287" i="3" s="1"/>
  <c r="K287" i="3"/>
  <c r="G287" i="3" s="1"/>
  <c r="E288" i="3"/>
  <c r="I288" i="3"/>
  <c r="F288" i="3" s="1"/>
  <c r="J288" i="3"/>
  <c r="H288" i="3" s="1"/>
  <c r="K288" i="3"/>
  <c r="G288" i="3" s="1"/>
  <c r="E289" i="3"/>
  <c r="I289" i="3"/>
  <c r="F289" i="3" s="1"/>
  <c r="J289" i="3"/>
  <c r="H289" i="3" s="1"/>
  <c r="K289" i="3"/>
  <c r="G289" i="3" s="1"/>
  <c r="E291" i="3"/>
  <c r="I291" i="3"/>
  <c r="F291" i="3" s="1"/>
  <c r="J291" i="3"/>
  <c r="H291" i="3" s="1"/>
  <c r="K291" i="3"/>
  <c r="G291" i="3" s="1"/>
  <c r="E292" i="3"/>
  <c r="I292" i="3"/>
  <c r="F292" i="3" s="1"/>
  <c r="J292" i="3"/>
  <c r="H292" i="3" s="1"/>
  <c r="K292" i="3"/>
  <c r="G292" i="3" s="1"/>
  <c r="E293" i="3"/>
  <c r="I293" i="3"/>
  <c r="F293" i="3" s="1"/>
  <c r="J293" i="3"/>
  <c r="H293" i="3" s="1"/>
  <c r="K293" i="3"/>
  <c r="G293" i="3" s="1"/>
  <c r="E294" i="3"/>
  <c r="I294" i="3"/>
  <c r="F294" i="3" s="1"/>
  <c r="J294" i="3"/>
  <c r="H294" i="3" s="1"/>
  <c r="K294" i="3"/>
  <c r="G294" i="3" s="1"/>
  <c r="E295" i="3"/>
  <c r="I295" i="3"/>
  <c r="F295" i="3" s="1"/>
  <c r="J295" i="3"/>
  <c r="H295" i="3" s="1"/>
  <c r="K295" i="3"/>
  <c r="G295" i="3" s="1"/>
  <c r="E296" i="3"/>
  <c r="I296" i="3"/>
  <c r="F296" i="3" s="1"/>
  <c r="J296" i="3"/>
  <c r="H296" i="3" s="1"/>
  <c r="K296" i="3"/>
  <c r="G296" i="3" s="1"/>
  <c r="E297" i="3"/>
  <c r="I297" i="3"/>
  <c r="F297" i="3" s="1"/>
  <c r="J297" i="3"/>
  <c r="H297" i="3" s="1"/>
  <c r="K297" i="3"/>
  <c r="G297" i="3" s="1"/>
  <c r="E298" i="3"/>
  <c r="I298" i="3"/>
  <c r="F298" i="3" s="1"/>
  <c r="J298" i="3"/>
  <c r="H298" i="3" s="1"/>
  <c r="K298" i="3"/>
  <c r="G298" i="3" s="1"/>
  <c r="E299" i="3"/>
  <c r="I299" i="3"/>
  <c r="F299" i="3" s="1"/>
  <c r="J299" i="3"/>
  <c r="H299" i="3" s="1"/>
  <c r="K299" i="3"/>
  <c r="G299" i="3" s="1"/>
  <c r="E300" i="3"/>
  <c r="I300" i="3"/>
  <c r="F300" i="3" s="1"/>
  <c r="J300" i="3"/>
  <c r="H300" i="3" s="1"/>
  <c r="K300" i="3"/>
  <c r="G300" i="3" s="1"/>
  <c r="E301" i="3"/>
  <c r="I301" i="3"/>
  <c r="F301" i="3" s="1"/>
  <c r="J301" i="3"/>
  <c r="H301" i="3" s="1"/>
  <c r="K301" i="3"/>
  <c r="G301" i="3" s="1"/>
  <c r="E303" i="3"/>
  <c r="I303" i="3"/>
  <c r="F303" i="3" s="1"/>
  <c r="J303" i="3"/>
  <c r="H303" i="3" s="1"/>
  <c r="K303" i="3"/>
  <c r="G303" i="3" s="1"/>
  <c r="E305" i="3"/>
  <c r="I305" i="3"/>
  <c r="F305" i="3" s="1"/>
  <c r="J305" i="3"/>
  <c r="H305" i="3" s="1"/>
  <c r="K305" i="3"/>
  <c r="G305" i="3" s="1"/>
  <c r="E306" i="3"/>
  <c r="I306" i="3"/>
  <c r="F306" i="3" s="1"/>
  <c r="J306" i="3"/>
  <c r="H306" i="3" s="1"/>
  <c r="K306" i="3"/>
  <c r="G306" i="3" s="1"/>
  <c r="E307" i="3"/>
  <c r="I307" i="3"/>
  <c r="F307" i="3" s="1"/>
  <c r="J307" i="3"/>
  <c r="H307" i="3" s="1"/>
  <c r="K307" i="3"/>
  <c r="G307" i="3" s="1"/>
  <c r="E308" i="3"/>
  <c r="I308" i="3"/>
  <c r="F308" i="3" s="1"/>
  <c r="J308" i="3"/>
  <c r="H308" i="3" s="1"/>
  <c r="K308" i="3"/>
  <c r="G308" i="3" s="1"/>
  <c r="E309" i="3"/>
  <c r="I309" i="3"/>
  <c r="F309" i="3" s="1"/>
  <c r="J309" i="3"/>
  <c r="H309" i="3" s="1"/>
  <c r="K309" i="3"/>
  <c r="G309" i="3" s="1"/>
  <c r="E310" i="3"/>
  <c r="I310" i="3"/>
  <c r="F310" i="3" s="1"/>
  <c r="J310" i="3"/>
  <c r="H310" i="3" s="1"/>
  <c r="K310" i="3"/>
  <c r="G310" i="3" s="1"/>
  <c r="E311" i="3"/>
  <c r="I311" i="3"/>
  <c r="F311" i="3" s="1"/>
  <c r="J311" i="3"/>
  <c r="H311" i="3" s="1"/>
  <c r="K311" i="3"/>
  <c r="G311" i="3" s="1"/>
  <c r="E312" i="3"/>
  <c r="I312" i="3"/>
  <c r="F312" i="3" s="1"/>
  <c r="J312" i="3"/>
  <c r="H312" i="3" s="1"/>
  <c r="K312" i="3"/>
  <c r="G312" i="3" s="1"/>
  <c r="E313" i="3"/>
  <c r="I313" i="3"/>
  <c r="F313" i="3" s="1"/>
  <c r="J313" i="3"/>
  <c r="H313" i="3" s="1"/>
  <c r="K313" i="3"/>
  <c r="G313" i="3" s="1"/>
  <c r="E314" i="3"/>
  <c r="I314" i="3"/>
  <c r="F314" i="3" s="1"/>
  <c r="J314" i="3"/>
  <c r="H314" i="3" s="1"/>
  <c r="K314" i="3"/>
  <c r="G314" i="3" s="1"/>
  <c r="E315" i="3"/>
  <c r="I315" i="3"/>
  <c r="F315" i="3" s="1"/>
  <c r="J315" i="3"/>
  <c r="H315" i="3" s="1"/>
  <c r="K315" i="3"/>
  <c r="G315" i="3" s="1"/>
  <c r="E317" i="3"/>
  <c r="I317" i="3"/>
  <c r="F317" i="3" s="1"/>
  <c r="J317" i="3"/>
  <c r="H317" i="3" s="1"/>
  <c r="K317" i="3"/>
  <c r="G317" i="3" s="1"/>
  <c r="E318" i="3"/>
  <c r="I318" i="3"/>
  <c r="F318" i="3" s="1"/>
  <c r="J318" i="3"/>
  <c r="H318" i="3" s="1"/>
  <c r="K318" i="3"/>
  <c r="G318" i="3" s="1"/>
  <c r="E319" i="3"/>
  <c r="I319" i="3"/>
  <c r="F319" i="3" s="1"/>
  <c r="J319" i="3"/>
  <c r="H319" i="3" s="1"/>
  <c r="K319" i="3"/>
  <c r="G319" i="3" s="1"/>
  <c r="E320" i="3"/>
  <c r="I320" i="3"/>
  <c r="F320" i="3" s="1"/>
  <c r="J320" i="3"/>
  <c r="H320" i="3" s="1"/>
  <c r="K320" i="3"/>
  <c r="G320" i="3" s="1"/>
  <c r="E321" i="3"/>
  <c r="I321" i="3"/>
  <c r="F321" i="3" s="1"/>
  <c r="J321" i="3"/>
  <c r="H321" i="3" s="1"/>
  <c r="K321" i="3"/>
  <c r="G321" i="3" s="1"/>
  <c r="E322" i="3"/>
  <c r="I322" i="3"/>
  <c r="F322" i="3" s="1"/>
  <c r="J322" i="3"/>
  <c r="H322" i="3" s="1"/>
  <c r="K322" i="3"/>
  <c r="G322" i="3" s="1"/>
  <c r="E323" i="3"/>
  <c r="I323" i="3"/>
  <c r="F323" i="3" s="1"/>
  <c r="J323" i="3"/>
  <c r="H323" i="3" s="1"/>
  <c r="K323" i="3"/>
  <c r="G323" i="3" s="1"/>
  <c r="E324" i="3"/>
  <c r="I324" i="3"/>
  <c r="F324" i="3" s="1"/>
  <c r="J324" i="3"/>
  <c r="H324" i="3" s="1"/>
  <c r="K324" i="3"/>
  <c r="G324" i="3" s="1"/>
  <c r="E325" i="3"/>
  <c r="I325" i="3"/>
  <c r="F325" i="3" s="1"/>
  <c r="J325" i="3"/>
  <c r="H325" i="3" s="1"/>
  <c r="K325" i="3"/>
  <c r="G325" i="3" s="1"/>
  <c r="E326" i="3"/>
  <c r="I326" i="3"/>
  <c r="F326" i="3" s="1"/>
  <c r="J326" i="3"/>
  <c r="H326" i="3" s="1"/>
  <c r="K326" i="3"/>
  <c r="G326" i="3" s="1"/>
  <c r="E327" i="3"/>
  <c r="I327" i="3"/>
  <c r="F327" i="3" s="1"/>
  <c r="J327" i="3"/>
  <c r="H327" i="3" s="1"/>
  <c r="K327" i="3"/>
  <c r="G327" i="3" s="1"/>
  <c r="E328" i="3"/>
  <c r="I328" i="3"/>
  <c r="F328" i="3" s="1"/>
  <c r="J328" i="3"/>
  <c r="H328" i="3" s="1"/>
  <c r="K328" i="3"/>
  <c r="G328" i="3" s="1"/>
  <c r="E329" i="3"/>
  <c r="I329" i="3"/>
  <c r="F329" i="3" s="1"/>
  <c r="J329" i="3"/>
  <c r="H329" i="3" s="1"/>
  <c r="K329" i="3"/>
  <c r="G329" i="3" s="1"/>
  <c r="E330" i="3"/>
  <c r="I330" i="3"/>
  <c r="F330" i="3" s="1"/>
  <c r="J330" i="3"/>
  <c r="H330" i="3" s="1"/>
  <c r="K330" i="3"/>
  <c r="G330" i="3" s="1"/>
  <c r="E331" i="3"/>
  <c r="I331" i="3"/>
  <c r="F331" i="3" s="1"/>
  <c r="J331" i="3"/>
  <c r="H331" i="3" s="1"/>
  <c r="K331" i="3"/>
  <c r="G331" i="3" s="1"/>
  <c r="E332" i="3"/>
  <c r="I332" i="3"/>
  <c r="F332" i="3" s="1"/>
  <c r="J332" i="3"/>
  <c r="H332" i="3" s="1"/>
  <c r="K332" i="3"/>
  <c r="G332" i="3" s="1"/>
  <c r="E333" i="3"/>
  <c r="I333" i="3"/>
  <c r="F333" i="3" s="1"/>
  <c r="J333" i="3"/>
  <c r="H333" i="3" s="1"/>
  <c r="K333" i="3"/>
  <c r="G333" i="3" s="1"/>
  <c r="E334" i="3"/>
  <c r="I334" i="3"/>
  <c r="F334" i="3" s="1"/>
  <c r="J334" i="3"/>
  <c r="H334" i="3" s="1"/>
  <c r="K334" i="3"/>
  <c r="G334" i="3" s="1"/>
  <c r="E335" i="3"/>
  <c r="I335" i="3"/>
  <c r="F335" i="3" s="1"/>
  <c r="J335" i="3"/>
  <c r="H335" i="3" s="1"/>
  <c r="K335" i="3"/>
  <c r="G335" i="3" s="1"/>
  <c r="E336" i="3"/>
  <c r="I336" i="3"/>
  <c r="F336" i="3" s="1"/>
  <c r="J336" i="3"/>
  <c r="H336" i="3" s="1"/>
  <c r="K336" i="3"/>
  <c r="G336" i="3" s="1"/>
  <c r="E338" i="3"/>
  <c r="I338" i="3"/>
  <c r="F338" i="3" s="1"/>
  <c r="J338" i="3"/>
  <c r="H338" i="3" s="1"/>
  <c r="K338" i="3"/>
  <c r="G338" i="3" s="1"/>
  <c r="E339" i="3"/>
  <c r="I339" i="3"/>
  <c r="F339" i="3" s="1"/>
  <c r="J339" i="3"/>
  <c r="H339" i="3" s="1"/>
  <c r="K339" i="3"/>
  <c r="G339" i="3" s="1"/>
  <c r="E340" i="3"/>
  <c r="I340" i="3"/>
  <c r="F340" i="3" s="1"/>
  <c r="J340" i="3"/>
  <c r="H340" i="3" s="1"/>
  <c r="K340" i="3"/>
  <c r="G340" i="3" s="1"/>
  <c r="E341" i="3"/>
  <c r="I341" i="3"/>
  <c r="F341" i="3" s="1"/>
  <c r="J341" i="3"/>
  <c r="H341" i="3" s="1"/>
  <c r="K341" i="3"/>
  <c r="G341" i="3" s="1"/>
  <c r="E342" i="3"/>
  <c r="I342" i="3"/>
  <c r="F342" i="3" s="1"/>
  <c r="J342" i="3"/>
  <c r="H342" i="3" s="1"/>
  <c r="K342" i="3"/>
  <c r="G342" i="3" s="1"/>
  <c r="E343" i="3"/>
  <c r="I343" i="3"/>
  <c r="F343" i="3" s="1"/>
  <c r="J343" i="3"/>
  <c r="H343" i="3" s="1"/>
  <c r="K343" i="3"/>
  <c r="G343" i="3" s="1"/>
  <c r="E344" i="3"/>
  <c r="I344" i="3"/>
  <c r="F344" i="3" s="1"/>
  <c r="J344" i="3"/>
  <c r="H344" i="3" s="1"/>
  <c r="K344" i="3"/>
  <c r="G344" i="3" s="1"/>
  <c r="E345" i="3"/>
  <c r="I345" i="3"/>
  <c r="F345" i="3" s="1"/>
  <c r="J345" i="3"/>
  <c r="H345" i="3" s="1"/>
  <c r="K345" i="3"/>
  <c r="G345" i="3" s="1"/>
  <c r="E346" i="3"/>
  <c r="I346" i="3"/>
  <c r="F346" i="3" s="1"/>
  <c r="J346" i="3"/>
  <c r="H346" i="3" s="1"/>
  <c r="K346" i="3"/>
  <c r="G346" i="3" s="1"/>
  <c r="E347" i="3"/>
  <c r="I347" i="3"/>
  <c r="F347" i="3" s="1"/>
  <c r="J347" i="3"/>
  <c r="H347" i="3" s="1"/>
  <c r="K347" i="3"/>
  <c r="G347" i="3" s="1"/>
  <c r="E348" i="3"/>
  <c r="I348" i="3"/>
  <c r="F348" i="3" s="1"/>
  <c r="J348" i="3"/>
  <c r="H348" i="3" s="1"/>
  <c r="K348" i="3"/>
  <c r="G348" i="3" s="1"/>
  <c r="E350" i="3"/>
  <c r="I350" i="3"/>
  <c r="F350" i="3" s="1"/>
  <c r="J350" i="3"/>
  <c r="H350" i="3" s="1"/>
  <c r="K350" i="3"/>
  <c r="G350" i="3" s="1"/>
  <c r="E352" i="3"/>
  <c r="I352" i="3"/>
  <c r="F352" i="3" s="1"/>
  <c r="J352" i="3"/>
  <c r="H352" i="3" s="1"/>
  <c r="K352" i="3"/>
  <c r="G352" i="3" s="1"/>
  <c r="E353" i="3"/>
  <c r="I353" i="3"/>
  <c r="F353" i="3" s="1"/>
  <c r="J353" i="3"/>
  <c r="H353" i="3" s="1"/>
  <c r="K353" i="3"/>
  <c r="G353" i="3" s="1"/>
  <c r="E354" i="3"/>
  <c r="I354" i="3"/>
  <c r="F354" i="3" s="1"/>
  <c r="J354" i="3"/>
  <c r="H354" i="3" s="1"/>
  <c r="K354" i="3"/>
  <c r="G354" i="3" s="1"/>
  <c r="E355" i="3"/>
  <c r="I355" i="3"/>
  <c r="F355" i="3" s="1"/>
  <c r="J355" i="3"/>
  <c r="H355" i="3" s="1"/>
  <c r="K355" i="3"/>
  <c r="G355" i="3" s="1"/>
  <c r="E356" i="3"/>
  <c r="I356" i="3"/>
  <c r="F356" i="3" s="1"/>
  <c r="J356" i="3"/>
  <c r="H356" i="3" s="1"/>
  <c r="K356" i="3"/>
  <c r="G356" i="3" s="1"/>
  <c r="E357" i="3"/>
  <c r="I357" i="3"/>
  <c r="F357" i="3" s="1"/>
  <c r="J357" i="3"/>
  <c r="H357" i="3" s="1"/>
  <c r="K357" i="3"/>
  <c r="G357" i="3" s="1"/>
  <c r="E358" i="3"/>
  <c r="I358" i="3"/>
  <c r="F358" i="3" s="1"/>
  <c r="J358" i="3"/>
  <c r="H358" i="3" s="1"/>
  <c r="K358" i="3"/>
  <c r="G358" i="3" s="1"/>
  <c r="E359" i="3"/>
  <c r="I359" i="3"/>
  <c r="F359" i="3" s="1"/>
  <c r="J359" i="3"/>
  <c r="H359" i="3" s="1"/>
  <c r="K359" i="3"/>
  <c r="G359" i="3" s="1"/>
  <c r="E360" i="3"/>
  <c r="I360" i="3"/>
  <c r="F360" i="3" s="1"/>
  <c r="J360" i="3"/>
  <c r="H360" i="3" s="1"/>
  <c r="K360" i="3"/>
  <c r="G360" i="3" s="1"/>
  <c r="E361" i="3"/>
  <c r="I361" i="3"/>
  <c r="F361" i="3" s="1"/>
  <c r="J361" i="3"/>
  <c r="H361" i="3" s="1"/>
  <c r="K361" i="3"/>
  <c r="G361" i="3" s="1"/>
  <c r="E362" i="3"/>
  <c r="I362" i="3"/>
  <c r="F362" i="3" s="1"/>
  <c r="J362" i="3"/>
  <c r="H362" i="3" s="1"/>
  <c r="K362" i="3"/>
  <c r="G362" i="3" s="1"/>
  <c r="E364" i="3"/>
  <c r="I364" i="3"/>
  <c r="F364" i="3" s="1"/>
  <c r="J364" i="3"/>
  <c r="H364" i="3" s="1"/>
  <c r="K364" i="3"/>
  <c r="G364" i="3" s="1"/>
  <c r="E365" i="3"/>
  <c r="I365" i="3"/>
  <c r="F365" i="3" s="1"/>
  <c r="J365" i="3"/>
  <c r="H365" i="3" s="1"/>
  <c r="K365" i="3"/>
  <c r="G365" i="3" s="1"/>
  <c r="E366" i="3"/>
  <c r="I366" i="3"/>
  <c r="F366" i="3" s="1"/>
  <c r="J366" i="3"/>
  <c r="H366" i="3" s="1"/>
  <c r="K366" i="3"/>
  <c r="G366" i="3" s="1"/>
  <c r="E367" i="3"/>
  <c r="I367" i="3"/>
  <c r="F367" i="3" s="1"/>
  <c r="J367" i="3"/>
  <c r="H367" i="3" s="1"/>
  <c r="K367" i="3"/>
  <c r="G367" i="3" s="1"/>
  <c r="E368" i="3"/>
  <c r="I368" i="3"/>
  <c r="F368" i="3" s="1"/>
  <c r="J368" i="3"/>
  <c r="H368" i="3" s="1"/>
  <c r="K368" i="3"/>
  <c r="G368" i="3" s="1"/>
  <c r="E369" i="3"/>
  <c r="I369" i="3"/>
  <c r="F369" i="3" s="1"/>
  <c r="J369" i="3"/>
  <c r="H369" i="3" s="1"/>
  <c r="K369" i="3"/>
  <c r="G369" i="3" s="1"/>
  <c r="E370" i="3"/>
  <c r="I370" i="3"/>
  <c r="F370" i="3" s="1"/>
  <c r="J370" i="3"/>
  <c r="H370" i="3" s="1"/>
  <c r="K370" i="3"/>
  <c r="G370" i="3" s="1"/>
  <c r="E371" i="3"/>
  <c r="I371" i="3"/>
  <c r="F371" i="3" s="1"/>
  <c r="J371" i="3"/>
  <c r="H371" i="3" s="1"/>
  <c r="K371" i="3"/>
  <c r="G371" i="3" s="1"/>
  <c r="E372" i="3"/>
  <c r="I372" i="3"/>
  <c r="F372" i="3" s="1"/>
  <c r="J372" i="3"/>
  <c r="H372" i="3" s="1"/>
  <c r="K372" i="3"/>
  <c r="G372" i="3" s="1"/>
  <c r="E373" i="3"/>
  <c r="I373" i="3"/>
  <c r="F373" i="3" s="1"/>
  <c r="J373" i="3"/>
  <c r="H373" i="3" s="1"/>
  <c r="K373" i="3"/>
  <c r="G373" i="3" s="1"/>
  <c r="E374" i="3"/>
  <c r="I374" i="3"/>
  <c r="F374" i="3" s="1"/>
  <c r="J374" i="3"/>
  <c r="H374" i="3" s="1"/>
  <c r="K374" i="3"/>
  <c r="G374" i="3" s="1"/>
  <c r="E375" i="3"/>
  <c r="I375" i="3"/>
  <c r="F375" i="3" s="1"/>
  <c r="J375" i="3"/>
  <c r="H375" i="3" s="1"/>
  <c r="K375" i="3"/>
  <c r="G375" i="3" s="1"/>
  <c r="E376" i="3"/>
  <c r="I376" i="3"/>
  <c r="F376" i="3" s="1"/>
  <c r="J376" i="3"/>
  <c r="H376" i="3" s="1"/>
  <c r="K376" i="3"/>
  <c r="G376" i="3" s="1"/>
  <c r="E377" i="3"/>
  <c r="I377" i="3"/>
  <c r="F377" i="3" s="1"/>
  <c r="J377" i="3"/>
  <c r="H377" i="3" s="1"/>
  <c r="K377" i="3"/>
  <c r="G377" i="3" s="1"/>
  <c r="E378" i="3"/>
  <c r="I378" i="3"/>
  <c r="F378" i="3" s="1"/>
  <c r="J378" i="3"/>
  <c r="H378" i="3" s="1"/>
  <c r="K378" i="3"/>
  <c r="G378" i="3" s="1"/>
  <c r="E379" i="3"/>
  <c r="I379" i="3"/>
  <c r="F379" i="3" s="1"/>
  <c r="J379" i="3"/>
  <c r="H379" i="3" s="1"/>
  <c r="K379" i="3"/>
  <c r="G379" i="3" s="1"/>
  <c r="E380" i="3"/>
  <c r="I380" i="3"/>
  <c r="F380" i="3" s="1"/>
  <c r="J380" i="3"/>
  <c r="H380" i="3" s="1"/>
  <c r="K380" i="3"/>
  <c r="G380" i="3" s="1"/>
  <c r="E381" i="3"/>
  <c r="I381" i="3"/>
  <c r="F381" i="3" s="1"/>
  <c r="J381" i="3"/>
  <c r="H381" i="3" s="1"/>
  <c r="K381" i="3"/>
  <c r="G381" i="3" s="1"/>
  <c r="E382" i="3"/>
  <c r="I382" i="3"/>
  <c r="F382" i="3" s="1"/>
  <c r="J382" i="3"/>
  <c r="H382" i="3" s="1"/>
  <c r="K382" i="3"/>
  <c r="G382" i="3" s="1"/>
  <c r="E383" i="3"/>
  <c r="I383" i="3"/>
  <c r="F383" i="3" s="1"/>
  <c r="J383" i="3"/>
  <c r="H383" i="3" s="1"/>
  <c r="K383" i="3"/>
  <c r="G383" i="3" s="1"/>
  <c r="E384" i="3"/>
  <c r="I384" i="3"/>
  <c r="F384" i="3" s="1"/>
  <c r="J384" i="3"/>
  <c r="H384" i="3" s="1"/>
  <c r="K384" i="3"/>
  <c r="G384" i="3" s="1"/>
  <c r="E385" i="3"/>
  <c r="I385" i="3"/>
  <c r="F385" i="3" s="1"/>
  <c r="J385" i="3"/>
  <c r="H385" i="3" s="1"/>
  <c r="K385" i="3"/>
  <c r="G385" i="3" s="1"/>
  <c r="E386" i="3"/>
  <c r="I386" i="3"/>
  <c r="F386" i="3" s="1"/>
  <c r="J386" i="3"/>
  <c r="H386" i="3" s="1"/>
  <c r="K386" i="3"/>
  <c r="G386" i="3" s="1"/>
  <c r="E387" i="3"/>
  <c r="I387" i="3"/>
  <c r="F387" i="3" s="1"/>
  <c r="J387" i="3"/>
  <c r="H387" i="3" s="1"/>
  <c r="K387" i="3"/>
  <c r="G387" i="3" s="1"/>
  <c r="E388" i="3"/>
  <c r="I388" i="3"/>
  <c r="F388" i="3" s="1"/>
  <c r="J388" i="3"/>
  <c r="H388" i="3" s="1"/>
  <c r="K388" i="3"/>
  <c r="G388" i="3" s="1"/>
  <c r="E389" i="3"/>
  <c r="I389" i="3"/>
  <c r="F389" i="3" s="1"/>
  <c r="J389" i="3"/>
  <c r="H389" i="3" s="1"/>
  <c r="K389" i="3"/>
  <c r="G389" i="3" s="1"/>
  <c r="E390" i="3"/>
  <c r="I390" i="3"/>
  <c r="F390" i="3" s="1"/>
  <c r="J390" i="3"/>
  <c r="H390" i="3" s="1"/>
  <c r="K390" i="3"/>
  <c r="G390" i="3" s="1"/>
  <c r="E391" i="3"/>
  <c r="I391" i="3"/>
  <c r="F391" i="3" s="1"/>
  <c r="J391" i="3"/>
  <c r="H391" i="3" s="1"/>
  <c r="K391" i="3"/>
  <c r="G391" i="3" s="1"/>
  <c r="E392" i="3"/>
  <c r="I392" i="3"/>
  <c r="F392" i="3" s="1"/>
  <c r="J392" i="3"/>
  <c r="H392" i="3" s="1"/>
  <c r="K392" i="3"/>
  <c r="G392" i="3" s="1"/>
  <c r="E394" i="3"/>
  <c r="I394" i="3"/>
  <c r="F394" i="3" s="1"/>
  <c r="J394" i="3"/>
  <c r="H394" i="3" s="1"/>
  <c r="K394" i="3"/>
  <c r="G394" i="3" s="1"/>
  <c r="E395" i="3"/>
  <c r="I395" i="3"/>
  <c r="F395" i="3" s="1"/>
  <c r="J395" i="3"/>
  <c r="H395" i="3" s="1"/>
  <c r="K395" i="3"/>
  <c r="G395" i="3" s="1"/>
  <c r="E396" i="3"/>
  <c r="I396" i="3"/>
  <c r="F396" i="3" s="1"/>
  <c r="J396" i="3"/>
  <c r="H396" i="3" s="1"/>
  <c r="K396" i="3"/>
  <c r="G396" i="3" s="1"/>
  <c r="E397" i="3"/>
  <c r="I397" i="3"/>
  <c r="F397" i="3" s="1"/>
  <c r="J397" i="3"/>
  <c r="H397" i="3" s="1"/>
  <c r="K397" i="3"/>
  <c r="G397" i="3" s="1"/>
  <c r="E398" i="3"/>
  <c r="I398" i="3"/>
  <c r="F398" i="3" s="1"/>
  <c r="J398" i="3"/>
  <c r="H398" i="3" s="1"/>
  <c r="K398" i="3"/>
  <c r="G398" i="3" s="1"/>
  <c r="E399" i="3"/>
  <c r="I399" i="3"/>
  <c r="F399" i="3" s="1"/>
  <c r="J399" i="3"/>
  <c r="H399" i="3" s="1"/>
  <c r="K399" i="3"/>
  <c r="G399" i="3" s="1"/>
  <c r="E400" i="3"/>
  <c r="I400" i="3"/>
  <c r="F400" i="3" s="1"/>
  <c r="J400" i="3"/>
  <c r="H400" i="3" s="1"/>
  <c r="K400" i="3"/>
  <c r="G400" i="3" s="1"/>
  <c r="E401" i="3"/>
  <c r="I401" i="3"/>
  <c r="F401" i="3" s="1"/>
  <c r="J401" i="3"/>
  <c r="H401" i="3" s="1"/>
  <c r="K401" i="3"/>
  <c r="G401" i="3" s="1"/>
  <c r="E403" i="3"/>
  <c r="I403" i="3"/>
  <c r="F403" i="3" s="1"/>
  <c r="J403" i="3"/>
  <c r="H403" i="3" s="1"/>
  <c r="K403" i="3"/>
  <c r="G403" i="3" s="1"/>
  <c r="E404" i="3"/>
  <c r="I404" i="3"/>
  <c r="F404" i="3" s="1"/>
  <c r="J404" i="3"/>
  <c r="H404" i="3" s="1"/>
  <c r="K404" i="3"/>
  <c r="G404" i="3" s="1"/>
  <c r="E405" i="3"/>
  <c r="I405" i="3"/>
  <c r="F405" i="3" s="1"/>
  <c r="J405" i="3"/>
  <c r="H405" i="3" s="1"/>
  <c r="K405" i="3"/>
  <c r="G405" i="3" s="1"/>
  <c r="E406" i="3"/>
  <c r="I406" i="3"/>
  <c r="F406" i="3" s="1"/>
  <c r="J406" i="3"/>
  <c r="H406" i="3" s="1"/>
  <c r="K406" i="3"/>
  <c r="G406" i="3" s="1"/>
  <c r="E407" i="3"/>
  <c r="I407" i="3"/>
  <c r="F407" i="3" s="1"/>
  <c r="J407" i="3"/>
  <c r="H407" i="3" s="1"/>
  <c r="K407" i="3"/>
  <c r="G407" i="3" s="1"/>
  <c r="E408" i="3"/>
  <c r="I408" i="3"/>
  <c r="F408" i="3" s="1"/>
  <c r="J408" i="3"/>
  <c r="H408" i="3" s="1"/>
  <c r="K408" i="3"/>
  <c r="G408" i="3" s="1"/>
  <c r="E409" i="3"/>
  <c r="I409" i="3"/>
  <c r="F409" i="3" s="1"/>
  <c r="J409" i="3"/>
  <c r="H409" i="3" s="1"/>
  <c r="K409" i="3"/>
  <c r="G409" i="3" s="1"/>
  <c r="E410" i="3"/>
  <c r="I410" i="3"/>
  <c r="F410" i="3" s="1"/>
  <c r="J410" i="3"/>
  <c r="H410" i="3" s="1"/>
  <c r="K410" i="3"/>
  <c r="G410" i="3" s="1"/>
  <c r="E411" i="3"/>
  <c r="I411" i="3"/>
  <c r="F411" i="3" s="1"/>
  <c r="J411" i="3"/>
  <c r="H411" i="3" s="1"/>
  <c r="K411" i="3"/>
  <c r="G411" i="3" s="1"/>
  <c r="E412" i="3"/>
  <c r="I412" i="3"/>
  <c r="F412" i="3" s="1"/>
  <c r="J412" i="3"/>
  <c r="H412" i="3" s="1"/>
  <c r="K412" i="3"/>
  <c r="G412" i="3" s="1"/>
  <c r="E413" i="3"/>
  <c r="I413" i="3"/>
  <c r="F413" i="3" s="1"/>
  <c r="J413" i="3"/>
  <c r="H413" i="3" s="1"/>
  <c r="K413" i="3"/>
  <c r="G413" i="3" s="1"/>
  <c r="E414" i="3"/>
  <c r="I414" i="3"/>
  <c r="F414" i="3" s="1"/>
  <c r="J414" i="3"/>
  <c r="H414" i="3" s="1"/>
  <c r="K414" i="3"/>
  <c r="G414" i="3" s="1"/>
  <c r="E415" i="3"/>
  <c r="I415" i="3"/>
  <c r="F415" i="3" s="1"/>
  <c r="J415" i="3"/>
  <c r="H415" i="3" s="1"/>
  <c r="K415" i="3"/>
  <c r="G415" i="3" s="1"/>
  <c r="E416" i="3"/>
  <c r="I416" i="3"/>
  <c r="F416" i="3" s="1"/>
  <c r="J416" i="3"/>
  <c r="H416" i="3" s="1"/>
  <c r="K416" i="3"/>
  <c r="G416" i="3" s="1"/>
  <c r="E417" i="3"/>
  <c r="I417" i="3"/>
  <c r="F417" i="3" s="1"/>
  <c r="J417" i="3"/>
  <c r="H417" i="3" s="1"/>
  <c r="K417" i="3"/>
  <c r="G417" i="3" s="1"/>
  <c r="E418" i="3"/>
  <c r="I418" i="3"/>
  <c r="F418" i="3" s="1"/>
  <c r="J418" i="3"/>
  <c r="H418" i="3" s="1"/>
  <c r="K418" i="3"/>
  <c r="G418" i="3" s="1"/>
  <c r="E9" i="3"/>
  <c r="I9" i="3"/>
  <c r="F9" i="3" s="1"/>
  <c r="J9" i="3"/>
  <c r="H9" i="3" s="1"/>
  <c r="K9" i="3"/>
  <c r="G9" i="3" s="1"/>
  <c r="E10" i="3"/>
  <c r="I10" i="3"/>
  <c r="F10" i="3" s="1"/>
  <c r="J10" i="3"/>
  <c r="H10" i="3" s="1"/>
  <c r="K10" i="3"/>
  <c r="G10" i="3" s="1"/>
  <c r="E11" i="3"/>
  <c r="I11" i="3"/>
  <c r="F11" i="3" s="1"/>
  <c r="J11" i="3"/>
  <c r="H11" i="3" s="1"/>
  <c r="K11" i="3"/>
  <c r="G11" i="3" s="1"/>
  <c r="E12" i="3"/>
  <c r="I12" i="3"/>
  <c r="F12" i="3" s="1"/>
  <c r="J12" i="3"/>
  <c r="H12" i="3" s="1"/>
  <c r="K12" i="3"/>
  <c r="G12" i="3" s="1"/>
  <c r="E13" i="3"/>
  <c r="I13" i="3"/>
  <c r="F13" i="3" s="1"/>
  <c r="J13" i="3"/>
  <c r="H13" i="3" s="1"/>
  <c r="K13" i="3"/>
  <c r="G13" i="3" s="1"/>
  <c r="E14" i="3"/>
  <c r="I14" i="3"/>
  <c r="F14" i="3" s="1"/>
  <c r="J14" i="3"/>
  <c r="H14" i="3" s="1"/>
  <c r="K14" i="3"/>
  <c r="G14" i="3" s="1"/>
  <c r="E15" i="3"/>
  <c r="I15" i="3"/>
  <c r="F15" i="3" s="1"/>
  <c r="J15" i="3"/>
  <c r="H15" i="3" s="1"/>
  <c r="K15" i="3"/>
  <c r="G15" i="3" s="1"/>
  <c r="E16" i="3"/>
  <c r="I16" i="3"/>
  <c r="F16" i="3" s="1"/>
  <c r="J16" i="3"/>
  <c r="H16" i="3" s="1"/>
  <c r="K16" i="3"/>
  <c r="G16" i="3" s="1"/>
  <c r="E17" i="3"/>
  <c r="I17" i="3"/>
  <c r="F17" i="3" s="1"/>
  <c r="J17" i="3"/>
  <c r="H17" i="3" s="1"/>
  <c r="K17" i="3"/>
  <c r="G17" i="3" s="1"/>
  <c r="E18" i="3"/>
  <c r="I18" i="3"/>
  <c r="F18" i="3" s="1"/>
  <c r="J18" i="3"/>
  <c r="H18" i="3" s="1"/>
  <c r="K18" i="3"/>
  <c r="G18" i="3" s="1"/>
  <c r="E19" i="3"/>
  <c r="I19" i="3"/>
  <c r="F19" i="3" s="1"/>
  <c r="J19" i="3"/>
  <c r="H19" i="3" s="1"/>
  <c r="K19" i="3"/>
  <c r="G19" i="3" s="1"/>
  <c r="E20" i="3"/>
  <c r="I20" i="3"/>
  <c r="F20" i="3" s="1"/>
  <c r="J20" i="3"/>
  <c r="H20" i="3" s="1"/>
  <c r="K20" i="3"/>
  <c r="G20" i="3" s="1"/>
  <c r="E21" i="3"/>
  <c r="I21" i="3"/>
  <c r="F21" i="3" s="1"/>
  <c r="J21" i="3"/>
  <c r="H21" i="3" s="1"/>
  <c r="K21" i="3"/>
  <c r="G21" i="3" s="1"/>
  <c r="E22" i="3"/>
  <c r="I22" i="3"/>
  <c r="F22" i="3" s="1"/>
  <c r="J22" i="3"/>
  <c r="H22" i="3" s="1"/>
  <c r="K22" i="3"/>
  <c r="G22" i="3" s="1"/>
  <c r="E23" i="3"/>
  <c r="I23" i="3"/>
  <c r="F23" i="3" s="1"/>
  <c r="J23" i="3"/>
  <c r="H23" i="3" s="1"/>
  <c r="K23" i="3"/>
  <c r="G23" i="3" s="1"/>
  <c r="E24" i="3"/>
  <c r="I24" i="3"/>
  <c r="F24" i="3" s="1"/>
  <c r="J24" i="3"/>
  <c r="H24" i="3" s="1"/>
  <c r="K24" i="3"/>
  <c r="G24" i="3" s="1"/>
  <c r="E25" i="3"/>
  <c r="I25" i="3"/>
  <c r="F25" i="3" s="1"/>
  <c r="J25" i="3"/>
  <c r="H25" i="3" s="1"/>
  <c r="K25" i="3"/>
  <c r="G25" i="3" s="1"/>
  <c r="E26" i="3"/>
  <c r="I26" i="3"/>
  <c r="F26" i="3" s="1"/>
  <c r="J26" i="3"/>
  <c r="H26" i="3" s="1"/>
  <c r="K26" i="3"/>
  <c r="G26" i="3" s="1"/>
  <c r="E27" i="3"/>
  <c r="I27" i="3"/>
  <c r="F27" i="3" s="1"/>
  <c r="J27" i="3"/>
  <c r="H27" i="3" s="1"/>
  <c r="K27" i="3"/>
  <c r="G27" i="3" s="1"/>
  <c r="E28" i="3"/>
  <c r="I28" i="3"/>
  <c r="F28" i="3" s="1"/>
  <c r="J28" i="3"/>
  <c r="H28" i="3" s="1"/>
  <c r="K28" i="3"/>
  <c r="G28" i="3" s="1"/>
  <c r="E29" i="3"/>
  <c r="I29" i="3"/>
  <c r="F29" i="3" s="1"/>
  <c r="J29" i="3"/>
  <c r="H29" i="3" s="1"/>
  <c r="K29" i="3"/>
  <c r="G29" i="3" s="1"/>
  <c r="K3" i="3"/>
  <c r="G3" i="3" s="1"/>
  <c r="K4" i="3"/>
  <c r="G4" i="3" s="1"/>
  <c r="K5" i="3"/>
  <c r="G5" i="3" s="1"/>
  <c r="K6" i="3"/>
  <c r="G6" i="3" s="1"/>
  <c r="K7" i="3"/>
  <c r="G7" i="3" s="1"/>
  <c r="K8" i="3"/>
  <c r="G8" i="3" s="1"/>
  <c r="K2" i="3"/>
  <c r="G2" i="3" s="1"/>
  <c r="J8" i="3"/>
  <c r="H8" i="3" s="1"/>
  <c r="I8" i="3"/>
  <c r="F8" i="3" s="1"/>
  <c r="E8" i="3"/>
  <c r="J7" i="3"/>
  <c r="H7" i="3" s="1"/>
  <c r="I7" i="3"/>
  <c r="F7" i="3" s="1"/>
  <c r="E7" i="3"/>
  <c r="J6" i="3"/>
  <c r="H6" i="3" s="1"/>
  <c r="I6" i="3"/>
  <c r="F6" i="3" s="1"/>
  <c r="E6" i="3"/>
  <c r="J5" i="3"/>
  <c r="H5" i="3" s="1"/>
  <c r="I5" i="3"/>
  <c r="F5" i="3" s="1"/>
  <c r="E5" i="3"/>
  <c r="J4" i="3"/>
  <c r="H4" i="3" s="1"/>
  <c r="I4" i="3"/>
  <c r="F4" i="3" s="1"/>
  <c r="E4" i="3"/>
  <c r="J3" i="3"/>
  <c r="H3" i="3" s="1"/>
  <c r="I3" i="3"/>
  <c r="F3" i="3" s="1"/>
  <c r="E3" i="3"/>
  <c r="J2" i="3"/>
  <c r="H2" i="3" s="1"/>
  <c r="I2" i="3"/>
  <c r="F2" i="3" s="1"/>
  <c r="E2" i="3"/>
  <c r="M2" i="3" s="1"/>
</calcChain>
</file>

<file path=xl/sharedStrings.xml><?xml version="1.0" encoding="utf-8"?>
<sst xmlns="http://schemas.openxmlformats.org/spreadsheetml/2006/main" count="1659" uniqueCount="758">
  <si>
    <t>รหัสรายวิชา</t>
  </si>
  <si>
    <t>ชื่อรายวิชา (ไทย)</t>
  </si>
  <si>
    <t>ชื่อรายวิชา (อังกฤษ)</t>
  </si>
  <si>
    <t>1423 001</t>
  </si>
  <si>
    <t>แนวคิดและหลักการทางสาธารณสุข*</t>
  </si>
  <si>
    <t>Concept and Principles of Public Health</t>
  </si>
  <si>
    <t>3(3-0-6)</t>
  </si>
  <si>
    <t>1423 101</t>
  </si>
  <si>
    <t xml:space="preserve">การพัฒนาและการจัดการระบบสุขภาพ   </t>
  </si>
  <si>
    <t>1423 102</t>
  </si>
  <si>
    <t>วิทยาการระบาดประยุกต์</t>
  </si>
  <si>
    <t>Applied Epidemiology</t>
  </si>
  <si>
    <t>1423 103</t>
  </si>
  <si>
    <t>อนามัยสิ่งแวดล้อมและอาชีวอนามัย</t>
  </si>
  <si>
    <t>Environmental and Occupational Health</t>
  </si>
  <si>
    <t>1423 104</t>
  </si>
  <si>
    <t>ชีวสถิติประยุกต์</t>
  </si>
  <si>
    <t>Applied Biostatistics</t>
  </si>
  <si>
    <t>3(2-2-5)</t>
  </si>
  <si>
    <t>Health Systems Development and Management</t>
  </si>
  <si>
    <t>1423 002</t>
  </si>
  <si>
    <t>ระบบสุขภาพแบบบูรณาการ*</t>
  </si>
  <si>
    <t>Integrated Health System</t>
  </si>
  <si>
    <t>1423 105</t>
  </si>
  <si>
    <t xml:space="preserve">วิทยาระเบียบวิธีวิจัยทางสาธารณสุข </t>
  </si>
  <si>
    <t>Research Methodology in Public Health and Statistic</t>
  </si>
  <si>
    <t>1423 211</t>
  </si>
  <si>
    <t>การจัดการระบบสุขภาพปฐมภูมิ</t>
  </si>
  <si>
    <t>Primary Care Management</t>
  </si>
  <si>
    <t>1423 212</t>
  </si>
  <si>
    <t>การจัดการสาธารณสุขในองค์กรปกครองส่วนท้องถิ่น</t>
  </si>
  <si>
    <t>Public Health Management in Local Administration Organization</t>
  </si>
  <si>
    <t>1423 213</t>
  </si>
  <si>
    <t>สารสนเทศสุขภาพระดับปฐมภูมิ</t>
  </si>
  <si>
    <t>Health Informatics in Primary Care</t>
  </si>
  <si>
    <t>1423 214</t>
  </si>
  <si>
    <t xml:space="preserve">การจัดบริการสุขภาพผู้สูงอายุในเชิงธุรกิจ </t>
  </si>
  <si>
    <t>Business Health Services for the Elderly</t>
  </si>
  <si>
    <t>1423 311</t>
  </si>
  <si>
    <t xml:space="preserve">สัมมนาการจัดการระบบสุขภาพ </t>
  </si>
  <si>
    <t>Seminar on Health System Management</t>
  </si>
  <si>
    <t>1430 001</t>
  </si>
  <si>
    <t>นโยบายและการบริหารงานสาธารณสุข*</t>
  </si>
  <si>
    <t>Policy and Public Health Administration</t>
  </si>
  <si>
    <t>วิทยาการระบาดประยุกต์*</t>
  </si>
  <si>
    <t>1430 101</t>
  </si>
  <si>
    <t>ความมั่นคงสุขภาพโลกและการจัดการระบบสุขภาพ</t>
  </si>
  <si>
    <t>Global Health Security and Health System Management</t>
  </si>
  <si>
    <t>1430 102</t>
  </si>
  <si>
    <t>การจัดการข้อมูลทางสุขภาพ</t>
  </si>
  <si>
    <t>Health Data Management</t>
  </si>
  <si>
    <t>1430 201</t>
  </si>
  <si>
    <t>สัมมนาทางสาธารณสุข 1</t>
  </si>
  <si>
    <t>Seminar in Public Health 1</t>
  </si>
  <si>
    <t>1422 102</t>
  </si>
  <si>
    <t>1430 103</t>
  </si>
  <si>
    <t xml:space="preserve">ระเบียบวิธีวิจัยสมัยใหม่ทางสาธารณสุข </t>
  </si>
  <si>
    <t>Modern Research Methods for Public Health</t>
  </si>
  <si>
    <t>1430 202</t>
  </si>
  <si>
    <t>สัมมนาทางสาธารณสุข 2</t>
  </si>
  <si>
    <t>1419 401</t>
  </si>
  <si>
    <t>หลักความปลอดภัยและสุขศาสตร์ในงานอุตสาหกรรม*</t>
  </si>
  <si>
    <t>Industrial Hygiene and Safety</t>
  </si>
  <si>
    <t>1419 402</t>
  </si>
  <si>
    <t>แนวคิดด้านโภชนาการและการส่งเสริมสุขภาพ*</t>
  </si>
  <si>
    <t>Concepts in Nutrition and Health Promotion</t>
  </si>
  <si>
    <t>1421 101</t>
  </si>
  <si>
    <t>สุขภาพประชากรโลก</t>
  </si>
  <si>
    <t>Global Health</t>
  </si>
  <si>
    <t>1421 102</t>
  </si>
  <si>
    <t>ระบาดวิทยาและระเบียบวิธีวิจัยทางสุขภาพและความปลอดภัยขั้นสูง</t>
  </si>
  <si>
    <t>Advanced Epidemiology and Health Research Methodology for Health and Safety</t>
  </si>
  <si>
    <t>1421 103</t>
  </si>
  <si>
    <t>สัมมนาดุษฎีบัณฑิต*</t>
  </si>
  <si>
    <t>Doctoral Seminar</t>
  </si>
  <si>
    <t>1(0-2-1)</t>
  </si>
  <si>
    <t>1421 104</t>
  </si>
  <si>
    <t>ชีวสถิติทางวิทยาศาสตร์สุขภาพขั้นสูง*</t>
  </si>
  <si>
    <t>Advanced Biostatistics for Health Sciences</t>
  </si>
  <si>
    <t>1421  201</t>
  </si>
  <si>
    <t>นวัตกรรมทางเทคโนโลยีทางด้านอนามัยสิ่งแวดล้อม</t>
  </si>
  <si>
    <t>Environmental Health Technology Innovation</t>
  </si>
  <si>
    <t>1421 202</t>
  </si>
  <si>
    <t>อาชีวอนามัยและความปลอดภัยระดับโลก</t>
  </si>
  <si>
    <t>Global Occupational Health and Safety</t>
  </si>
  <si>
    <t>1421 203</t>
  </si>
  <si>
    <t xml:space="preserve">แนวคิดระดับโลกด้านโภชนาการเพื่อสุขภาพ </t>
  </si>
  <si>
    <t>Global Perspectives in Nutrition forHealth</t>
  </si>
  <si>
    <t>1421 204</t>
  </si>
  <si>
    <t xml:space="preserve">การจัดการข้อมูลสุขภาพขั้นสูงและระบบสารสนเทศ </t>
  </si>
  <si>
    <t>Advanced Health Data Management and Information Systems</t>
  </si>
  <si>
    <t>1421 499</t>
  </si>
  <si>
    <t>วิทยานิพนธ์</t>
  </si>
  <si>
    <t>Thesis</t>
  </si>
  <si>
    <t>1421 301</t>
  </si>
  <si>
    <t>การพัฒนาพลังงานอย่างยั่งยืน</t>
  </si>
  <si>
    <t>Sustainable Energy Development</t>
  </si>
  <si>
    <t>1421 302</t>
  </si>
  <si>
    <t>ระบบสารสนเทศภูมิศาสตร์สำหรับงานด้านอนามัยสิ่งแวดล้อม</t>
  </si>
  <si>
    <t>Geographic Information Systems for Environmental Health</t>
  </si>
  <si>
    <t>1421 303</t>
  </si>
  <si>
    <t>การปรับปรุงงานและนวัตกรรมในงานอาชีวอนามัย</t>
  </si>
  <si>
    <t>Job Improvement and Innovation in Occupational Health</t>
  </si>
  <si>
    <t>1421 304</t>
  </si>
  <si>
    <t>การประเมินการรับสัมผัสและการควบคุมในสถานประกอบการ</t>
  </si>
  <si>
    <t>Workplace Exposure Assessment and Control</t>
  </si>
  <si>
    <t>1421 305</t>
  </si>
  <si>
    <t>1421 306</t>
  </si>
  <si>
    <t>โภชนพันธุศาสตร์และสุขภาพมนุษย์</t>
  </si>
  <si>
    <t>Nutrigenomics and Human Health</t>
  </si>
  <si>
    <t>1421 307</t>
  </si>
  <si>
    <t>เทคโนโลยีสุขภาพในการดูแล ป้องกัน และแนวทางการวินิจฉัยโรค</t>
  </si>
  <si>
    <t>Health Technology for Care, Prevention, and Diagnostics is Approaches</t>
  </si>
  <si>
    <t>1421 308</t>
  </si>
  <si>
    <t>ความปลอดภัยและการป้องกันความเสี่ยงของข้อมูลสุขภาพขั้นสูง</t>
  </si>
  <si>
    <t>Advanced Health Data Security and Risk Prevention</t>
  </si>
  <si>
    <t>1421 309</t>
  </si>
  <si>
    <t xml:space="preserve">การพัฒนาระบบสารสนเทศสุขภาพที่ยั่งยืนขั้นสูง     </t>
  </si>
  <si>
    <t xml:space="preserve">Advanced Sustainable Health Information System Development                     </t>
  </si>
  <si>
    <t>1421 310</t>
  </si>
  <si>
    <t xml:space="preserve">การประยุกต์ใช้ ปัญญาประดิษฐ์ ในระบบสุขภาพขั้นสูง      </t>
  </si>
  <si>
    <t xml:space="preserve">Advanced Application of AI in Health Systems            </t>
  </si>
  <si>
    <t>1419 101</t>
  </si>
  <si>
    <t>วิทยาการระบาดประยุกต์ทางวิทยาศาสตร์สุขภาพ</t>
  </si>
  <si>
    <t>Applied Epidemiology in Health Sciences</t>
  </si>
  <si>
    <t>1419 102</t>
  </si>
  <si>
    <t xml:space="preserve">วิทยาระเบียบวิธีวิจัย และชีวสถิติในงานเทคโนโลยีทางสุขภาพและความปลอดภัย </t>
  </si>
  <si>
    <t>Research Methodology and Biostatistics in Health and Safety Technology</t>
  </si>
  <si>
    <t>1419 103</t>
  </si>
  <si>
    <t>วิทยาการเทคโนโลยี และสารสนเทศทางสุขภาพและความปลอดภัย</t>
  </si>
  <si>
    <t>Technology and Information Science in Health and Safety Technology</t>
  </si>
  <si>
    <t xml:space="preserve">1419 104 </t>
  </si>
  <si>
    <t>การวิเคราะห์ข้อมูลและการใช้ปัญญาประดิษฐ์ในระบบสุขภาพ</t>
  </si>
  <si>
    <t>Data Analytics and Artificial Intelligence in Health System</t>
  </si>
  <si>
    <t>1419 105</t>
  </si>
  <si>
    <t>สัมมนาทางเทคโนโลยีสุขภาพและความปลอดภัย*</t>
  </si>
  <si>
    <t>Seminar in Health and Safety Technology</t>
  </si>
  <si>
    <t>1419 399</t>
  </si>
  <si>
    <t>(Thesis)</t>
  </si>
  <si>
    <t>1419 201</t>
  </si>
  <si>
    <t>เทคโนโลยีการจัดการคุณภาพอากาศ</t>
  </si>
  <si>
    <t>Air Quality Management Technology</t>
  </si>
  <si>
    <t>1419 202</t>
  </si>
  <si>
    <t>เทคโนโลยีการจัดหาน้ำสะอาดและการบำบัดน้ำเสีย</t>
  </si>
  <si>
    <t>Water Supply and Wastewater Treatment Technology</t>
  </si>
  <si>
    <t>1419 203</t>
  </si>
  <si>
    <t>พิษวิทยาสิ่งแวดล้อมและการจัดการความเสี่ยง</t>
  </si>
  <si>
    <t>Environmental Toxicology and Risk Management</t>
  </si>
  <si>
    <t>1419 204</t>
  </si>
  <si>
    <t>ระบบการจัดการสิ่งแวดล้อมเชิงประยุกต์</t>
  </si>
  <si>
    <t>Applied Environmental Management System</t>
  </si>
  <si>
    <t>1419 205</t>
  </si>
  <si>
    <t xml:space="preserve">อาชีวอนามัยและความปลอดภัยประยุกต์                   </t>
  </si>
  <si>
    <t>Applied Occupational Health and Safety</t>
  </si>
  <si>
    <t>1419 206</t>
  </si>
  <si>
    <t>การประเมินและการจัดการความเสี่ยง</t>
  </si>
  <si>
    <t>Risk Assessment and Management</t>
  </si>
  <si>
    <t>1419 207</t>
  </si>
  <si>
    <t>การประยุกต์เทคโนโลยีในงานอาชีวอนามัยและความปลอดภัย</t>
  </si>
  <si>
    <t>Application of Occupational Health and Safety Technology</t>
  </si>
  <si>
    <t>1419 208</t>
  </si>
  <si>
    <t>การประเมินทางโภชนาการขั้นสูง</t>
  </si>
  <si>
    <t>Advanced Nutritional Assessments</t>
  </si>
  <si>
    <t>1419 209</t>
  </si>
  <si>
    <t xml:space="preserve">ความปลอดภัยของอาหารและการสุขาภิบาลอาหารขั้นสูง                                      </t>
  </si>
  <si>
    <t>Advanced Food Safety and Sanitation</t>
  </si>
  <si>
    <t>1419 210</t>
  </si>
  <si>
    <t xml:space="preserve">ปัญญาประดิษฐ์ในระบบสุขภาพ                                     </t>
  </si>
  <si>
    <t>Artificial Intelligence in Health System</t>
  </si>
  <si>
    <t>2(1-2-3)</t>
  </si>
  <si>
    <t>1419 211</t>
  </si>
  <si>
    <t>การฟื้นฟูสิ่งแวดล้อมเชิงประยุกต์</t>
  </si>
  <si>
    <t>Applied Environmental Remediation</t>
  </si>
  <si>
    <t>1419 212</t>
  </si>
  <si>
    <t>อาชีวเวชศาสตร์ พิษวิทยาและการยศาสตร์</t>
  </si>
  <si>
    <t>Occupational Medicine, Toxicology and Ergonomics</t>
  </si>
  <si>
    <t>1419 213</t>
  </si>
  <si>
    <t>ระบบการจัดการคุณภาพ  อาชีวอนามัย ความปลอดภัย และสิ่งแวดล้อม</t>
  </si>
  <si>
    <t>Quality Management System, Occupational Health, Safety, and Environment</t>
  </si>
  <si>
    <t>1419 214</t>
  </si>
  <si>
    <t>พันธุศาสตร์การระบาดและชีวสารสนเทศทางโภชนวิทยา</t>
  </si>
  <si>
    <t>Epigenetics and Bioinformatics in Nutrition</t>
  </si>
  <si>
    <t>1419 215</t>
  </si>
  <si>
    <t>สารอาหารรองและเมตาบอลิซึมในพยาธิวิทยาภูมิคุ้มกัน</t>
  </si>
  <si>
    <t>Micronutrients and Metabolism Related to Immunopathology</t>
  </si>
  <si>
    <t>1419 216</t>
  </si>
  <si>
    <t>นวัตกรรมอาหารเชิงหน้าที่และการพัฒนาผลิตภัณฑ์ทางโภชนาการ</t>
  </si>
  <si>
    <t>Functional Food Innovation and Nutritional Product Development</t>
  </si>
  <si>
    <t>1419 217</t>
  </si>
  <si>
    <t>การจัดการโครงการสารสนเทศด้านสุขภาพ</t>
  </si>
  <si>
    <t>Health Informatics Project Management</t>
  </si>
  <si>
    <t>1419 218</t>
  </si>
  <si>
    <t>ระบบสนับสนุนการตัดสินใจทางคลินิก</t>
  </si>
  <si>
    <t>Clinical Decision Support Systems</t>
  </si>
  <si>
    <t>1419 219</t>
  </si>
  <si>
    <t>การประยุกต์ใช้เทคโนโลยีเพื่อการมีส่วนร่วมกับชุมชน</t>
  </si>
  <si>
    <t>Application of Technology for Community Engagement</t>
  </si>
  <si>
    <t>1419 220</t>
  </si>
  <si>
    <t>เทคโนโลยีชีวภาพเพื่อสุขภาพและสิ่งแวดล้อม</t>
  </si>
  <si>
    <t>Biotechnology for Health and Environment</t>
  </si>
  <si>
    <t>2(2-0-4)</t>
  </si>
  <si>
    <t>1419 221</t>
  </si>
  <si>
    <t>Sustainable Health and Safety Management in the Digital Era</t>
  </si>
  <si>
    <t>การบริหารความยั่งยืนด้านสุขภาพและความปลอดภัยในยุคดิจิทัล</t>
  </si>
  <si>
    <t>คณิตศาสตร์สำหรับวิทยาศาสตร์สุขภาพ 1</t>
  </si>
  <si>
    <t>Mathematics for Health Sciences 1</t>
  </si>
  <si>
    <t xml:space="preserve">เคมีทั่วไป </t>
  </si>
  <si>
    <t>General Chemistry</t>
  </si>
  <si>
    <t>ปฏิบัติการเคมีทั่วไป</t>
  </si>
  <si>
    <t>General Chemistry Laboratory</t>
  </si>
  <si>
    <t>1(0-3-0)</t>
  </si>
  <si>
    <t>ชีววิทยา 1</t>
  </si>
  <si>
    <t>Biology 1</t>
  </si>
  <si>
    <t>ปฏิบัติการชีววิทยา 1</t>
  </si>
  <si>
    <t>Biology Laboratory 1</t>
  </si>
  <si>
    <t>1(0-3-1)</t>
  </si>
  <si>
    <t>1499 101</t>
  </si>
  <si>
    <t>จุลชีววิทยาสำหรับงานสาธารณสุข</t>
  </si>
  <si>
    <t>Microbiology for Public Health</t>
  </si>
  <si>
    <t>1407 405</t>
  </si>
  <si>
    <t>จิตวิทยาด้านอนามัยสิ่งแวดล้อม</t>
  </si>
  <si>
    <t>Environmental Health Psychology</t>
  </si>
  <si>
    <t>0041 001</t>
  </si>
  <si>
    <t>ภาษาอังกฤษเพื่อเตรียมความพร้อม</t>
  </si>
  <si>
    <t>2 หน่วยกิต</t>
  </si>
  <si>
    <t>0041 022</t>
  </si>
  <si>
    <t>ทักษะและชีวิตดิจิทัลเพื่อการเปลี่ยนแปลง</t>
  </si>
  <si>
    <t xml:space="preserve">0201 118   </t>
  </si>
  <si>
    <t xml:space="preserve">คณิตศาสตร์สำหรับวิทยาศาสตร์สุขภาพ 2 </t>
  </si>
  <si>
    <t>Mathematics for Health Sciences 2</t>
  </si>
  <si>
    <t>0204 100</t>
  </si>
  <si>
    <t>ฟิสิกส์ทั่วไป</t>
  </si>
  <si>
    <t>General Physics</t>
  </si>
  <si>
    <t>0204 190</t>
  </si>
  <si>
    <t>ปฏิบัติการฟิสิกส์ทั่วไป</t>
  </si>
  <si>
    <t>General Physics Laboratory</t>
  </si>
  <si>
    <t>0202 221</t>
  </si>
  <si>
    <t xml:space="preserve">เคมีอินทรีย์ </t>
  </si>
  <si>
    <t>Organic Chemistry</t>
  </si>
  <si>
    <t>นิเวศวิทยา</t>
  </si>
  <si>
    <t>Ecology</t>
  </si>
  <si>
    <t>1499 103</t>
  </si>
  <si>
    <t xml:space="preserve">กายวิภาคศาสตร์และสรีรวิทยามูลฐานสำหรับงานสาธารณสุข </t>
  </si>
  <si>
    <t>Fundamental Anatomy and Physiology for Public Health</t>
  </si>
  <si>
    <t>0041 002</t>
  </si>
  <si>
    <t>ภาษาอังกฤษเพื่อการสื่อสาร</t>
  </si>
  <si>
    <t>1502 108</t>
  </si>
  <si>
    <t>ปฏิบัติการชีวเคมีพื้นฐาน</t>
  </si>
  <si>
    <t xml:space="preserve">Basic Biochemistry Laboratory </t>
  </si>
  <si>
    <t>1502 109</t>
  </si>
  <si>
    <t>ชีวเคมีพื้นฐาน</t>
  </si>
  <si>
    <t>Fundamental Biochemistry</t>
  </si>
  <si>
    <t>ระบาดวิทยา</t>
  </si>
  <si>
    <t>Epidemiology</t>
  </si>
  <si>
    <t>อนามัยสิ่งแวดล้อม</t>
  </si>
  <si>
    <t>Environmental Health</t>
  </si>
  <si>
    <t>1407 201</t>
  </si>
  <si>
    <t xml:space="preserve">การปฐมพยาบาลเบื้องต้นสำหรับงานอนามัยสิ่งแวดล้อม </t>
  </si>
  <si>
    <t>First Aid for Environmental Health Field</t>
  </si>
  <si>
    <t>1407 311</t>
  </si>
  <si>
    <t>การควบคุมสัตว์ขาปล้อง สัตว์แทะ และปรสิตก่อโรคในมนุษย์</t>
  </si>
  <si>
    <t>Arthropod Vectors Rodents Control and Parasites Cause Disease in Human</t>
  </si>
  <si>
    <t>1499 203</t>
  </si>
  <si>
    <t>อาชีวอนามัยและความปลอดภัย</t>
  </si>
  <si>
    <t>Occupational Health and Safety</t>
  </si>
  <si>
    <t>1407 202</t>
  </si>
  <si>
    <t>การป้องกันและควบคุมโรคสำหรับงานอนามัยสิ่งแวดล้อม</t>
  </si>
  <si>
    <t>Disease Prevention and Control for Environmental Health Field</t>
  </si>
  <si>
    <t>ชีวสถิติ</t>
  </si>
  <si>
    <t>Biostatistics</t>
  </si>
  <si>
    <t>1407 312</t>
  </si>
  <si>
    <t xml:space="preserve">การสุขาภิบาลน้ำดื่มน้ำใช้ </t>
  </si>
  <si>
    <t>Water Supply Sanitation</t>
  </si>
  <si>
    <t>1407 313</t>
  </si>
  <si>
    <t>การจัดการมูลฝอยและสิ่งปฏิกูล</t>
  </si>
  <si>
    <t>Solid Waste and Excreta Management</t>
  </si>
  <si>
    <t>1407 203</t>
  </si>
  <si>
    <t>กฎหมายและข้อบังคับในการจัดการอนามัยสิ่งแวดล้อม</t>
  </si>
  <si>
    <t>Laws and Regulations in Environmental Health Management</t>
  </si>
  <si>
    <t>1407 315</t>
  </si>
  <si>
    <t>พิษวิทยาสิ่งแวดล้อม</t>
  </si>
  <si>
    <t>Environmental Toxicology</t>
  </si>
  <si>
    <t>1407 331</t>
  </si>
  <si>
    <t>การควบคุมระบบบำบัดน้ำเสีย</t>
  </si>
  <si>
    <t>Control of Wastewater Treatment System</t>
  </si>
  <si>
    <t>1407 333</t>
  </si>
  <si>
    <t>การควบคุมมลพิษทางเสียงและความสั่นสะเทือนและการตรวจวัด</t>
  </si>
  <si>
    <t>Noise Pollution and Vibration Controls and Measurement</t>
  </si>
  <si>
    <t>1407 334</t>
  </si>
  <si>
    <t xml:space="preserve">การควบคุมและจัดการของเสียอันตราย </t>
  </si>
  <si>
    <t>Control and Management of Hazardous Waste</t>
  </si>
  <si>
    <t>1407 341</t>
  </si>
  <si>
    <t xml:space="preserve">เทคโนโลยีการจัดการสิ่งแวดล้อมในอุตสาหกรรม </t>
  </si>
  <si>
    <t>Environmental Management Technology in Industry Plant</t>
  </si>
  <si>
    <t>1407 335</t>
  </si>
  <si>
    <t>การจัดการอนามัยสิ่งแวดล้อมในสภาวะฉุกเฉิน</t>
  </si>
  <si>
    <t>Environmental Health Management in Emergencies</t>
  </si>
  <si>
    <t>1499 310</t>
  </si>
  <si>
    <t>การฝึกภาคสนามร่วมด้านสาธารณสุขชุมชน</t>
  </si>
  <si>
    <t>Community Health Field Practicum</t>
  </si>
  <si>
    <t>1(150 ชั่วโมง)</t>
  </si>
  <si>
    <t>1407 204</t>
  </si>
  <si>
    <t>หลักการวิจัยทางสาธารณสุขและอนามัยสิ่งแวดล้อม</t>
  </si>
  <si>
    <t>Principles of Public Health and Environmental Health Research</t>
  </si>
  <si>
    <t>1407 314</t>
  </si>
  <si>
    <t>หลักการความปลอดภัยของอาหาร</t>
  </si>
  <si>
    <t>Food Safety Principles</t>
  </si>
  <si>
    <t>1407 321</t>
  </si>
  <si>
    <t>การประเมินผลกระทบสิ่งแวดล้อม</t>
  </si>
  <si>
    <t>Environmental Impact Assessment</t>
  </si>
  <si>
    <t>1407 332</t>
  </si>
  <si>
    <t>การควบคุมมลพิษทางอากาศ</t>
  </si>
  <si>
    <t>Air Pollution Control</t>
  </si>
  <si>
    <t>1407 351</t>
  </si>
  <si>
    <t xml:space="preserve">สัมมนาทางอนามัยสิ่งแวดล้อม </t>
  </si>
  <si>
    <t>Seminar in Environmental Health</t>
  </si>
  <si>
    <t xml:space="preserve">1407 401  </t>
  </si>
  <si>
    <t xml:space="preserve">ระบบการจัดการสิ่งแวดล้อม  </t>
  </si>
  <si>
    <t>Environmental Management System</t>
  </si>
  <si>
    <t xml:space="preserve">การสุขาภิบาลอาคารและโรงงานอุตสาหกรรม </t>
  </si>
  <si>
    <t>Building and Industrial Sanitation</t>
  </si>
  <si>
    <t xml:space="preserve">การสุขาภิบาลสถานบริการและสถานที่พักผ่อนหย่อนใจ  </t>
  </si>
  <si>
    <t>Sanitation of Service Establishments and Recreation Areas</t>
  </si>
  <si>
    <t xml:space="preserve">คาร์บอนฟุตพริ้นท์ </t>
  </si>
  <si>
    <t>Carbon Footprint</t>
  </si>
  <si>
    <t xml:space="preserve">2(2-0-4) </t>
  </si>
  <si>
    <t xml:space="preserve">เหตุรำคาญและการควบคุม  </t>
  </si>
  <si>
    <t>Nuisance and Control</t>
  </si>
  <si>
    <t>1407 353</t>
  </si>
  <si>
    <t>การฝึกประสบการณ์วิชาชีพด้านอนามัยสิ่งแวดล้อม 1</t>
  </si>
  <si>
    <t>Environmental Health Practicum 1</t>
  </si>
  <si>
    <t>4(400 ชั่วโมง)</t>
  </si>
  <si>
    <t>1407 322</t>
  </si>
  <si>
    <t>การวิเคราะห์และประเมินผลกระทบสุขภาพ</t>
  </si>
  <si>
    <t>Health Analysis and Impact Assessment</t>
  </si>
  <si>
    <t>ปัญหาพิเศษทางอนามัยสิ่งแวดล้อม</t>
  </si>
  <si>
    <t>Special Problems in Environmental Health</t>
  </si>
  <si>
    <t>3(0-9-0)</t>
  </si>
  <si>
    <t>1407 354</t>
  </si>
  <si>
    <t>การฝึกประสบการณ์วิชาชีพด้านอนามัยสิ่งแวดล้อม 2</t>
  </si>
  <si>
    <t>Environmental Health Practicum 2</t>
  </si>
  <si>
    <t>5 (640 ชั่วโมง)</t>
  </si>
  <si>
    <t>1401 100</t>
  </si>
  <si>
    <t>เคมีทั่วไปและเคมีอินทรีย์พื้นฐานสำหรับงานสาธารณสุข</t>
  </si>
  <si>
    <t>General Chemistry and Basic Organic Chemistry for Public Health</t>
  </si>
  <si>
    <t>2(1-3-3)</t>
  </si>
  <si>
    <t>1401 101</t>
  </si>
  <si>
    <t xml:space="preserve">จุลชีววิทยาสำหรับงานสาธารณสุข </t>
  </si>
  <si>
    <t>3(2-3-5)</t>
  </si>
  <si>
    <t>1401 110</t>
  </si>
  <si>
    <t>การสาธารณสุข และระบบสาธารณสุขเบื้องต้น</t>
  </si>
  <si>
    <t>Introduction to Public Health and Health Systems</t>
  </si>
  <si>
    <t>1401 114</t>
  </si>
  <si>
    <t>สุขภาพจิตชุมชน</t>
  </si>
  <si>
    <t>Community Mental Health</t>
  </si>
  <si>
    <t>1401 277</t>
  </si>
  <si>
    <t xml:space="preserve">สุขภาพหนึ่งเดียวและการพัฒนาคุณภาพชีวิตด้านสาธารณสุข One </t>
  </si>
  <si>
    <t>Health and Life Quality Improvement in Public Health</t>
  </si>
  <si>
    <t>1401 375</t>
  </si>
  <si>
    <t xml:space="preserve">นวัตกรรมและเทคโนโลยีสารสนเทศในงานสาธารณสุข </t>
  </si>
  <si>
    <t>Innovation and Information Technology in Public Health</t>
  </si>
  <si>
    <t>1401 271</t>
  </si>
  <si>
    <t xml:space="preserve">การสื่อสารสุขภาพ และการรู้เท่าทันสื่อยุคดิจิทัล </t>
  </si>
  <si>
    <t>Public Health Communication and Digital Literacy</t>
  </si>
  <si>
    <t>1401 377</t>
  </si>
  <si>
    <t xml:space="preserve">สุขภาพโลกและการเปรียบเทียบระบบสาธารณสุข </t>
  </si>
  <si>
    <t>Global Health and Comparative Public Health Systems</t>
  </si>
  <si>
    <t>1401 103</t>
  </si>
  <si>
    <t xml:space="preserve">ปรสิตวิทยาสำหรับงานสาธารณสุข </t>
  </si>
  <si>
    <t>Parasitology for Public Health</t>
  </si>
  <si>
    <t>1401 104</t>
  </si>
  <si>
    <t>กายวิภาคศาสตร์และสรีรวิทยาพื้นฐานสำหรับงานสาธารณสุข</t>
  </si>
  <si>
    <t>Basic Anatomy and Physiology for Public Health</t>
  </si>
  <si>
    <t>การจัดการสิ่งแวดล้อมภายในบ้านเพื่อสุขภาพ</t>
  </si>
  <si>
    <t>Home Environmental Management for Health</t>
  </si>
  <si>
    <t>การควบคุมแมลง และสัตว์นำโรค</t>
  </si>
  <si>
    <t>Control of Insects and Diseases Vectors</t>
  </si>
  <si>
    <t>การประยุกต์ใช้เทคโนโลยีดิจิทัลและปัญญาประดิษฐ์ในระบบสาธารณสุข</t>
  </si>
  <si>
    <t>Application of Digital Technology and Artificial Intelligence in Public Health</t>
  </si>
  <si>
    <t>การประยุกต์ใช้เทคโนโลยีดิจิทัลและปัญญาประดิษฐ์ในด้านอนามัยสิ่งแวดล้อม</t>
  </si>
  <si>
    <t>Application of Digital Technology and Artificial Intelligence in Environmental Health</t>
  </si>
  <si>
    <t>1401 574</t>
  </si>
  <si>
    <t xml:space="preserve">การสุขาภิบาลสถานบริการและสถานที่พักผ่อนหย่อนใจ </t>
  </si>
  <si>
    <t>1401 680</t>
  </si>
  <si>
    <t xml:space="preserve">หลักประกันสุขภาพในระบบสาธารณสุขไทย  </t>
  </si>
  <si>
    <t>Health Insurance in Thai Public Health System</t>
  </si>
  <si>
    <t>1401 679</t>
  </si>
  <si>
    <t xml:space="preserve">ภาษาอังกฤษเพื่อการสื่อสารในงานสาธารณสุข </t>
  </si>
  <si>
    <t>English for Communication in Public Health</t>
  </si>
  <si>
    <t>1401 276</t>
  </si>
  <si>
    <t xml:space="preserve">วัฒนธรรมกับการพัฒนาสาธารณสุข </t>
  </si>
  <si>
    <t>Culture and Public Health Development</t>
  </si>
  <si>
    <t>1401 312</t>
  </si>
  <si>
    <t>เศรษฐศาสตร์สาธารณสุข</t>
  </si>
  <si>
    <t>Health Economics</t>
  </si>
  <si>
    <t>1401 212</t>
  </si>
  <si>
    <t xml:space="preserve">เภสัชสาธารณสุข </t>
  </si>
  <si>
    <t>Public Health Pharmacy</t>
  </si>
  <si>
    <t>1499 201</t>
  </si>
  <si>
    <t>1401 241</t>
  </si>
  <si>
    <t>การตรวจประเมินภาวะสุขภาพ  การบำบัดโรคเบื้องต้น และการส่งต่อผู้ป่วย</t>
  </si>
  <si>
    <t>Primary Health Assessment, Basic Medical Care, and Patient Referral</t>
  </si>
  <si>
    <t>1499 202</t>
  </si>
  <si>
    <t xml:space="preserve">อนามัยสิ่งแวดล้อม </t>
  </si>
  <si>
    <t>1401 363</t>
  </si>
  <si>
    <t xml:space="preserve">การคุ้มครองผู้บริโภคทางสาธารณสุข </t>
  </si>
  <si>
    <t>Public Health Consumer Protection</t>
  </si>
  <si>
    <t>1499 204</t>
  </si>
  <si>
    <t>โภชนาการชุมชน</t>
  </si>
  <si>
    <t>Community Nutrition</t>
  </si>
  <si>
    <t xml:space="preserve">3(2-2-5)  </t>
  </si>
  <si>
    <t>1499 206</t>
  </si>
  <si>
    <t xml:space="preserve">ชีวสถิติ </t>
  </si>
  <si>
    <t>1499 205</t>
  </si>
  <si>
    <t>การป้องกันและควบคุมโรค</t>
  </si>
  <si>
    <t>Disease Prevention and Control</t>
  </si>
  <si>
    <t>1401 242</t>
  </si>
  <si>
    <t>การบริบาลสุขภาพที่บ้านและการฟื้นฟูสุขภาพแบบองค์รวม</t>
  </si>
  <si>
    <t>Holistic Home Health Care and Rehabilitation</t>
  </si>
  <si>
    <t xml:space="preserve">อาชีวอนามัยและความปลอดภัย </t>
  </si>
  <si>
    <t>1401 351</t>
  </si>
  <si>
    <t xml:space="preserve">กฎหมายสาธารณสุขและสิ่งแวดล้อม  </t>
  </si>
  <si>
    <t>Public Health Laws and Environmental Health Laws</t>
  </si>
  <si>
    <t>1401 313</t>
  </si>
  <si>
    <t>หลักการวิจัยทางสาธารณสุขศาสตร์</t>
  </si>
  <si>
    <t>Principles of Public Health Research</t>
  </si>
  <si>
    <t>1401 311</t>
  </si>
  <si>
    <t>จิตวิทยาสุขภาพและสุขภาพจิตชุมชน</t>
  </si>
  <si>
    <t>(Health Psychology and Community Mental Health)</t>
  </si>
  <si>
    <t>1401 322</t>
  </si>
  <si>
    <t>การส่งเสริมสุขภาพ</t>
  </si>
  <si>
    <t>Health Promotion</t>
  </si>
  <si>
    <t>1401 323</t>
  </si>
  <si>
    <t>การวางแผนและการประเมินโครงการสาธารณสุข</t>
  </si>
  <si>
    <t>Public Health Project Planning and Evaluation</t>
  </si>
  <si>
    <t>1401 364</t>
  </si>
  <si>
    <t xml:space="preserve">สัมมนาสาธารณสุข </t>
  </si>
  <si>
    <t>Seminar in Public Health</t>
  </si>
  <si>
    <t>2(0-6-0)</t>
  </si>
  <si>
    <t>1401 341</t>
  </si>
  <si>
    <t xml:space="preserve">อนามัยครอบครัว </t>
  </si>
  <si>
    <t>Family Health</t>
  </si>
  <si>
    <t>1401 321</t>
  </si>
  <si>
    <t xml:space="preserve">การจัดการสาธารณสุขในชุมชน </t>
  </si>
  <si>
    <t>Community Public Health Management</t>
  </si>
  <si>
    <t>1499 301</t>
  </si>
  <si>
    <t xml:space="preserve">สุขศึกษาและพฤติกรรมศาสตร์ </t>
  </si>
  <si>
    <t>Health Education and Behavioral Science</t>
  </si>
  <si>
    <t>1401 342</t>
  </si>
  <si>
    <t xml:space="preserve">การดูแลสุขภาพผู้สูงอายุและผู้ที่มีภาวะพึ่งพิงในชุมชน  </t>
  </si>
  <si>
    <t>Health Care for Elderly and Dependent People in Community</t>
  </si>
  <si>
    <t>1401 332</t>
  </si>
  <si>
    <t>การศึกษาอิสระทางสาธารณสุข 1</t>
  </si>
  <si>
    <t>Independent Study in Public Health 2</t>
  </si>
  <si>
    <t>3(0-6-0)</t>
  </si>
  <si>
    <t>1401 331</t>
  </si>
  <si>
    <t>การวิเคราะห์ข้อมูลสาธารณสุขด้วยคอมพิวเตอร์</t>
  </si>
  <si>
    <t>Computing in Public Health Data Analysis</t>
  </si>
  <si>
    <t>1401 352</t>
  </si>
  <si>
    <t>การประเมินผลกระทบทางสุขภาพและสิ่งแวดล้อม</t>
  </si>
  <si>
    <t>Health and Environmental Impact Assessment</t>
  </si>
  <si>
    <t>1499 304</t>
  </si>
  <si>
    <t xml:space="preserve">การบริหารงานสาธารณสุข </t>
  </si>
  <si>
    <t>Public Health Administration</t>
  </si>
  <si>
    <t>1401 361</t>
  </si>
  <si>
    <t>การพัฒนางานสาธารณสุขและการพัฒนาคุณภาพในงานสาธารณสุข</t>
  </si>
  <si>
    <t>Development and Quality Improvement in Public Health</t>
  </si>
  <si>
    <t>1401 491</t>
  </si>
  <si>
    <t>การฝึกปฏิบัติงานเสริมสร้างประสบการณ์วิชาชีพสาธารณสุข 1 (ไม่น้อยกว่า 180 ชั่วโมง)</t>
  </si>
  <si>
    <t>Public Health Field Practicum 1</t>
  </si>
  <si>
    <t>4(0-12-0)</t>
  </si>
  <si>
    <t>1401 333</t>
  </si>
  <si>
    <t xml:space="preserve">การศึกษาอิสระทางสาธารณสุข 2 </t>
  </si>
  <si>
    <t>Independent Study in Public  Health 2</t>
  </si>
  <si>
    <t>2(1-2-6)</t>
  </si>
  <si>
    <t>1401 492</t>
  </si>
  <si>
    <t>การฝึกปฏิบัติงานเสริมสร้างประสบการณ์วิชาชีพสาธารณสุข 2 (ไม่น้อยกว่า 225 ชั่วโมง)</t>
  </si>
  <si>
    <t>Public Health Field Practicum 2</t>
  </si>
  <si>
    <t>5(0-15-0)</t>
  </si>
  <si>
    <t>0201 117</t>
  </si>
  <si>
    <t>Mathematics for Health Science 1</t>
  </si>
  <si>
    <t>1402 101</t>
  </si>
  <si>
    <t>เคมีสำหรับงานทางโภชนาการ</t>
  </si>
  <si>
    <t>Chemistry for Nutrition</t>
  </si>
  <si>
    <t xml:space="preserve">1402 102 </t>
  </si>
  <si>
    <t>ชีววิทยาทั่วไป</t>
  </si>
  <si>
    <t>General Biology</t>
  </si>
  <si>
    <t>1402 103</t>
  </si>
  <si>
    <t xml:space="preserve">1402 104 </t>
  </si>
  <si>
    <t>ชีวเคมีสำหรับงานทางโภชนาการ</t>
  </si>
  <si>
    <t>Biochemistry for Nutrition</t>
  </si>
  <si>
    <t>1402 105</t>
  </si>
  <si>
    <t>1402 106</t>
  </si>
  <si>
    <t xml:space="preserve">การประกอบอาหารขั้นพื้นฐาน </t>
  </si>
  <si>
    <t>Basic Culinary</t>
  </si>
  <si>
    <t>1402 107</t>
  </si>
  <si>
    <t xml:space="preserve">วิทยาศาสตร์การอาหารเบื้องต้น </t>
  </si>
  <si>
    <t>Introduction to Food Science</t>
  </si>
  <si>
    <t xml:space="preserve">ระบาดวิทยา </t>
  </si>
  <si>
    <t>1402 201</t>
  </si>
  <si>
    <t xml:space="preserve">โภชนาการมนุษย์  </t>
  </si>
  <si>
    <t>Human Nutrition</t>
  </si>
  <si>
    <t>1402 202</t>
  </si>
  <si>
    <t xml:space="preserve">จุลชีววิทยาอาหาร  </t>
  </si>
  <si>
    <t>Food Microbiology</t>
  </si>
  <si>
    <t>1402 203</t>
  </si>
  <si>
    <t>เคมีวิเคราะห์และเคมีองค์ประกอบในอาหาร</t>
  </si>
  <si>
    <t>Analytical Chemistry and Chemistry of Food Components</t>
  </si>
  <si>
    <t>1402 205</t>
  </si>
  <si>
    <t>โภชนาการในวัยต่าง ๆ</t>
  </si>
  <si>
    <t>Nutrition in Life Cycle</t>
  </si>
  <si>
    <t xml:space="preserve">โภชนาการชุมชน </t>
  </si>
  <si>
    <t xml:space="preserve">ชีวสถิติ    </t>
  </si>
  <si>
    <t>1402 204</t>
  </si>
  <si>
    <t xml:space="preserve">เคมีคลินิกสำหรับโภชนาการและการกำหนดอาหาร </t>
  </si>
  <si>
    <t>Clinical Chemistry for Nutrition and Dietetics</t>
  </si>
  <si>
    <t>1402 206</t>
  </si>
  <si>
    <t>การประเมินภาวะโภชนาการ</t>
  </si>
  <si>
    <t>Nutrition Assessment</t>
  </si>
  <si>
    <t>สุขศึกษาและพฤติกรรมศาสตร์</t>
  </si>
  <si>
    <t>1402 301</t>
  </si>
  <si>
    <t xml:space="preserve">โภชนาการคลินิก </t>
  </si>
  <si>
    <t>Clinical Nutrition</t>
  </si>
  <si>
    <t>1402 302</t>
  </si>
  <si>
    <t xml:space="preserve">หลักการกำหนดอาหาร  </t>
  </si>
  <si>
    <t>Principle of Dietetics</t>
  </si>
  <si>
    <t>1402 303</t>
  </si>
  <si>
    <t xml:space="preserve">โภชนบำบัด  </t>
  </si>
  <si>
    <t>Nutrition Therapy</t>
  </si>
  <si>
    <t>1402 304</t>
  </si>
  <si>
    <t xml:space="preserve">กระบวนการผลิตอาหารปลอดภัย </t>
  </si>
  <si>
    <t>Manufacturing Process of Safety Food</t>
  </si>
  <si>
    <t>1402 328</t>
  </si>
  <si>
    <t>การประกอบอาหารขั้นพื้นฐาน</t>
  </si>
  <si>
    <t>1(150)</t>
  </si>
  <si>
    <t>1402 335</t>
  </si>
  <si>
    <t>โภชนาการและนักกีฬา</t>
  </si>
  <si>
    <t>Nutrition and Athletes</t>
  </si>
  <si>
    <t>1402 305</t>
  </si>
  <si>
    <t>การให้คำปรึกษาและการปรับเปลี่ยนพฤติกรรมด้านโภชนาการ</t>
  </si>
  <si>
    <t>Diet Counseling and Behavior Modification</t>
  </si>
  <si>
    <t>1402 306</t>
  </si>
  <si>
    <t>ความปลอดภัยอาหารและสุขาภิบาลอาหาร</t>
  </si>
  <si>
    <t>Food Safety and Sanitation</t>
  </si>
  <si>
    <t>1402 307</t>
  </si>
  <si>
    <t xml:space="preserve">การจัดการระบบการบริการอาหารเพื่อโภชนาการ </t>
  </si>
  <si>
    <t>Food Service System Management</t>
  </si>
  <si>
    <t>1402 308</t>
  </si>
  <si>
    <t>การจัดการธุรกิจการตลาดอาหารสุขภาพในชุมชน</t>
  </si>
  <si>
    <t>Business Management for Health Food Marketing in community</t>
  </si>
  <si>
    <t>1402 309</t>
  </si>
  <si>
    <t xml:space="preserve">จรรยาบรรณวิชาชีพนักกำหนดอาหาร </t>
  </si>
  <si>
    <t>Ethic for Dietetic Professionals</t>
  </si>
  <si>
    <t>1(1-0-2)</t>
  </si>
  <si>
    <t>1402 310</t>
  </si>
  <si>
    <t>วิทยาระเบียบวิธีวิจัยทางโภชนาการและการกำหนดอาหาร</t>
  </si>
  <si>
    <t>Research Methodology in Nutritional and Dietetics</t>
  </si>
  <si>
    <t>1402 320</t>
  </si>
  <si>
    <t>เภสัชวิทยาและพิษวิทยาทางอาหาร</t>
  </si>
  <si>
    <t>Pharmacology and Food Toxicology</t>
  </si>
  <si>
    <t>1402 330</t>
  </si>
  <si>
    <t>การผลิตและการดัดแปลงสูตรอาหาร</t>
  </si>
  <si>
    <t>Product and Modification of Diets</t>
  </si>
  <si>
    <t>1402 401</t>
  </si>
  <si>
    <t xml:space="preserve">สัมมนาปัญหาพิเศษทางโภชนาการและการกำหนดอาหาร </t>
  </si>
  <si>
    <t>Seminar in Special Problem in Nutritional and Dietetics</t>
  </si>
  <si>
    <t>1402 402</t>
  </si>
  <si>
    <t xml:space="preserve">โครงงานนิสิต  </t>
  </si>
  <si>
    <t>Senior Project</t>
  </si>
  <si>
    <t>1402 403</t>
  </si>
  <si>
    <t>ฝึกประสบการณ์ด้านโภชนาการชุมชนและโภชนบริการ</t>
  </si>
  <si>
    <t>Professional Practicum in Community Nutrition and Food Services</t>
  </si>
  <si>
    <t>3(0-24-0)</t>
  </si>
  <si>
    <t>1402 404</t>
  </si>
  <si>
    <t xml:space="preserve">ฝึกประสบการณ์ด้านโภชนาการคลินิกและการกำหนดอาหาร </t>
  </si>
  <si>
    <t>Professional Practicum in Clinical Nutrition and Dietetics</t>
  </si>
  <si>
    <t>6(0-36-0)</t>
  </si>
  <si>
    <t>คณิตศาสตร์สำหรับวิทยาศาสตร์สุขภาพ 2</t>
  </si>
  <si>
    <t>เคมีอินทรีย์</t>
  </si>
  <si>
    <t xml:space="preserve">ปฏิบัติการชีวเคมีพื้นฐาน </t>
  </si>
  <si>
    <t>Basic Biochemistry Laboratory</t>
  </si>
  <si>
    <t xml:space="preserve">ระบบการจัดการสิ่งแวดล้อม </t>
  </si>
  <si>
    <t xml:space="preserve">Environmental Management System </t>
  </si>
  <si>
    <t>1407 406</t>
  </si>
  <si>
    <t>1407 407</t>
  </si>
  <si>
    <t xml:space="preserve">Carbon Footprint </t>
  </si>
  <si>
    <t>1407 416</t>
  </si>
  <si>
    <t>1407 352</t>
  </si>
  <si>
    <t>คณิตศาสตร์สำหรับวิทยาศาสตร์ 1</t>
  </si>
  <si>
    <t>Mathematics  for  Health Science 1</t>
  </si>
  <si>
    <t>เคมีทั่วไป</t>
  </si>
  <si>
    <t xml:space="preserve">ฟิสิกส์ทั่วไป </t>
  </si>
  <si>
    <t>General  Physics</t>
  </si>
  <si>
    <t xml:space="preserve">ปฏิบัติการฟิสิกส์ทั่วไป </t>
  </si>
  <si>
    <t>General  Physics  Laboratory</t>
  </si>
  <si>
    <t>0202 22</t>
  </si>
  <si>
    <t>Basic Biochemistry</t>
  </si>
  <si>
    <t>1408 212</t>
  </si>
  <si>
    <t>การบำบัดรักษาเบื้องต้น</t>
  </si>
  <si>
    <t>Primary  Health  Care</t>
  </si>
  <si>
    <t>1408 501</t>
  </si>
  <si>
    <t xml:space="preserve">ความปลอดภัยในการทำงาน   </t>
  </si>
  <si>
    <t>Safety at Work</t>
  </si>
  <si>
    <t>1408 401</t>
  </si>
  <si>
    <t xml:space="preserve">สุขศาสตร์อุตสาหกรรม </t>
  </si>
  <si>
    <t>Industrial Hygiene</t>
  </si>
  <si>
    <t>1408 505</t>
  </si>
  <si>
    <t>กระบวนการผลิตทางอุตสาหกรรมและอันตราย</t>
  </si>
  <si>
    <t>Industrial Process and Hazard</t>
  </si>
  <si>
    <t>1408 211</t>
  </si>
  <si>
    <t>กฎหมายและจรรยาบรรณวิชาชีพด้านสาธารณสุข</t>
  </si>
  <si>
    <t>Law and Code of Ethics for Public Health</t>
  </si>
  <si>
    <t>1408 402</t>
  </si>
  <si>
    <t>การเก็บตัวอย่างและการวิเคราะห์ทาง สุขศาสตร์อุตสาหกรรม</t>
  </si>
  <si>
    <t>Industrial Hygiene Sampling and Analysis</t>
  </si>
  <si>
    <t>1408 504</t>
  </si>
  <si>
    <t>1408 702</t>
  </si>
  <si>
    <t>Occupational Health Safety and Environment Law</t>
  </si>
  <si>
    <t>1408 404</t>
  </si>
  <si>
    <t>Health Risk Assessment and Management</t>
  </si>
  <si>
    <t>1408 802</t>
  </si>
  <si>
    <t xml:space="preserve">หลักการวิจัยทางด้านอาชีวอนามัยและ ความปลอดภัย  </t>
  </si>
  <si>
    <t xml:space="preserve">Principles of Occupation Health and safety Research </t>
  </si>
  <si>
    <t>การบริหารงานสาธารณสุข</t>
  </si>
  <si>
    <t>1408 403</t>
  </si>
  <si>
    <t xml:space="preserve">การยศาสตร์และสรีรวิทยาในการทำงาน </t>
  </si>
  <si>
    <t>Ergonomics and Work Physiology</t>
  </si>
  <si>
    <t>1408 503</t>
  </si>
  <si>
    <t xml:space="preserve">การป้องกันอัคคีภัยและการโต้ตอบเหตุฉุกเฉิน </t>
  </si>
  <si>
    <t>Fire Prevention and Emergency Response</t>
  </si>
  <si>
    <t>1408 601</t>
  </si>
  <si>
    <t xml:space="preserve">หลักการวิศวกรรมสำหรับงานด้านอาชีวอนามัยและความปลอดภัย </t>
  </si>
  <si>
    <t xml:space="preserve">Principles of Engineering for Occupational Health and Safety </t>
  </si>
  <si>
    <t>1408 301</t>
  </si>
  <si>
    <t xml:space="preserve">อาชีวเวชศาสตร์ </t>
  </si>
  <si>
    <t>Occupational Medicine</t>
  </si>
  <si>
    <t>1408 303</t>
  </si>
  <si>
    <t xml:space="preserve">พิษวิทยาอาชีวอนามัย </t>
  </si>
  <si>
    <t>Occupational  Health  Toxicology</t>
  </si>
  <si>
    <t>1408 405</t>
  </si>
  <si>
    <t>ปฏิบัติงานทางสุขศาสตร์อุตสาหกรรมและความปลอดภัย</t>
  </si>
  <si>
    <t>Practice in Industrial Hygiene and Safety</t>
  </si>
  <si>
    <t>1(120 ชั่วโมง)</t>
  </si>
  <si>
    <t>1408 701</t>
  </si>
  <si>
    <t xml:space="preserve">มาตรฐานการควบคุมคุณภาพ ระบบการจัดการอาชีวอนามัย ความปลอดภัยและสิ่งแวดล้อม </t>
  </si>
  <si>
    <t>Occupational Health, Safety and Environmental Quality Standards and Management System</t>
  </si>
  <si>
    <t>1408 210</t>
  </si>
  <si>
    <t xml:space="preserve">การปฏิบัติงานสาธารณสุขในชุมชนและโรงงานอุตสาหกรรม </t>
  </si>
  <si>
    <t xml:space="preserve">Community and Industrial Plant Study and Practice                                                   </t>
  </si>
  <si>
    <t>3(320 ชั่วโมง)</t>
  </si>
  <si>
    <t>1408 603</t>
  </si>
  <si>
    <t>เทคโนโลยีความปลอดภัยในงานอุตสาหกรรม</t>
  </si>
  <si>
    <t>Industrial Safety Technology</t>
  </si>
  <si>
    <t>1408 602</t>
  </si>
  <si>
    <t xml:space="preserve">การระบายอากาศทางอุตสาหกรรม </t>
  </si>
  <si>
    <t>Industrial Ventilation</t>
  </si>
  <si>
    <t>1408 302</t>
  </si>
  <si>
    <t xml:space="preserve">สัมมนาอาชีวอนามัยและความปลอดภัย </t>
  </si>
  <si>
    <t>1408 502</t>
  </si>
  <si>
    <t>การจัดเก็บสารเคมีอันตราย</t>
  </si>
  <si>
    <t>Storage of Hazardous Chemicals</t>
  </si>
  <si>
    <t>1408 801</t>
  </si>
  <si>
    <t>จิตวิทยาอุตสาหกรรมเพื่อการพัฒนาองค์กร</t>
  </si>
  <si>
    <t>Industrial Psychology for Organization Development</t>
  </si>
  <si>
    <t>1408 901</t>
  </si>
  <si>
    <t>การใช้เทคโนโลยีและนวัตกรรมเพื่อความปลอดภัย</t>
  </si>
  <si>
    <t>Technology and Innovation for Safety</t>
  </si>
  <si>
    <t>1408 903</t>
  </si>
  <si>
    <t>เทคโนโลยีการจัดการของเสียอันตราย</t>
  </si>
  <si>
    <t xml:space="preserve">Hazardous Waste Management Technology </t>
  </si>
  <si>
    <t>1408 904</t>
  </si>
  <si>
    <t>ความปลอดภัยในงานก่อสร้าง</t>
  </si>
  <si>
    <t>Construction Safety</t>
  </si>
  <si>
    <t>1408 907</t>
  </si>
  <si>
    <t>การจัดทำรายงานด้านอาชีวอนามัยและความปลอดภัย</t>
  </si>
  <si>
    <t xml:space="preserve">Occupational Health and Safety Report  </t>
  </si>
  <si>
    <t>1408 908</t>
  </si>
  <si>
    <t>การฝึกอบรมและการสื่อสารด้านความปลอดภัย</t>
  </si>
  <si>
    <t xml:space="preserve">Training and Communication for Safety </t>
  </si>
  <si>
    <t>1408 909</t>
  </si>
  <si>
    <t xml:space="preserve">การวิเคราะห์ข้อมูลอาชีวอนามัยและความปลอดภัยด้วยคอมพิวเตอร์   </t>
  </si>
  <si>
    <t>Data analysis for Occupational  health  and  Safety</t>
  </si>
  <si>
    <t>1408 304</t>
  </si>
  <si>
    <t>การฝึกปฏิบัติงานวิชาชีพ</t>
  </si>
  <si>
    <t>Professional Field Practicum</t>
  </si>
  <si>
    <t>5(640ชั่วโมง)</t>
  </si>
  <si>
    <t xml:space="preserve">ความปลอดภัยในการทำงาน  </t>
  </si>
  <si>
    <t xml:space="preserve">กระบวนการผลิตทางอุตสาหกรรมและอันตราย </t>
  </si>
  <si>
    <t>การเก็บตัวอย่างและการวิเคราะห์ทางสุขศาสตร์อุตสาหกรรม</t>
  </si>
  <si>
    <t xml:space="preserve">การประเมินและการจัดการความเสี่ยง </t>
  </si>
  <si>
    <t>กฎหมายอาชีวอนามัยความปลอดภัย และสิ่งแวดล้อม</t>
  </si>
  <si>
    <t>การประเมินความเสี่ยงทางสุขภาพและการจัดการ</t>
  </si>
  <si>
    <t xml:space="preserve">หลักการวิจัยทางด้านอาชีวอนามัยและ ความปลอดภัย   </t>
  </si>
  <si>
    <t xml:space="preserve">Principles of Occupation Health and safety Research  </t>
  </si>
  <si>
    <t>Principles of Engineering for Occupational Health and Safety</t>
  </si>
  <si>
    <t>การระบายอากาศทางอุตสาหกรรม</t>
  </si>
  <si>
    <t>Seminar in Occupational Health and Safety</t>
  </si>
  <si>
    <t xml:space="preserve">จิตวิทยาอุตสาหกรรมเพื่อการพัฒนาองค์กร </t>
  </si>
  <si>
    <t xml:space="preserve">Technology and Innovation for Safety </t>
  </si>
  <si>
    <t>Hazardous Waste Management Technology</t>
  </si>
  <si>
    <t>Training and Communication for Safety</t>
  </si>
  <si>
    <t>1401 102</t>
  </si>
  <si>
    <t>ชีวเคมีสำหรับงานสาธารณสุข</t>
  </si>
  <si>
    <t>Biochemistry for Public Health</t>
  </si>
  <si>
    <t>1401 152</t>
  </si>
  <si>
    <t>1401 156</t>
  </si>
  <si>
    <t>1401 123</t>
  </si>
  <si>
    <t>1401 125</t>
  </si>
  <si>
    <t xml:space="preserve">การบริบาลสุขภาพที่บ้านและการฟื้นฟูสุขภาพแบบองค์รวม </t>
  </si>
  <si>
    <t xml:space="preserve">หลักการวิจัยทางสาธารณสุขศาสตร์ </t>
  </si>
  <si>
    <t xml:space="preserve">การดูแลสุขภาพผู้สูงอายุและผู้ที่มีภาวะพึ่งพิงในชุมชน </t>
  </si>
  <si>
    <t xml:space="preserve">Public Health Field Practicum 1 </t>
  </si>
  <si>
    <t xml:space="preserve">Public Health Field Practicum 2 </t>
  </si>
  <si>
    <t>1422 214</t>
  </si>
  <si>
    <t>1422 311</t>
  </si>
  <si>
    <t>สัมมนาการจัดการระบบสุขภาพ</t>
  </si>
  <si>
    <t>1422 211</t>
  </si>
  <si>
    <t>1422 212</t>
  </si>
  <si>
    <t>1422 001</t>
  </si>
  <si>
    <t>1422 101</t>
  </si>
  <si>
    <t>ระบบสุขภาพและการจัดการ</t>
  </si>
  <si>
    <t>Health System and Management</t>
  </si>
  <si>
    <t>1422 103</t>
  </si>
  <si>
    <t>1422 104</t>
  </si>
  <si>
    <t>1422 002</t>
  </si>
  <si>
    <t>1422 105</t>
  </si>
  <si>
    <t xml:space="preserve">1422 211 </t>
  </si>
  <si>
    <t xml:space="preserve">กลยุทธ์การพัฒนาและการจัดการระบบสุขภาพ   </t>
  </si>
  <si>
    <t>(Health Systems Development and Management Strategy)</t>
  </si>
  <si>
    <t>(Public Health Management in Local Administration Organization)</t>
  </si>
  <si>
    <t>1422 213</t>
  </si>
  <si>
    <t>(Primary Care Management</t>
  </si>
  <si>
    <t>Seminar in Public Health 2</t>
  </si>
  <si>
    <t>หน่วยกิต</t>
  </si>
  <si>
    <t xml:space="preserve">วิทยาการทันสมัยด้านผลกระทบของโภชนาการและสุขภาพ </t>
  </si>
  <si>
    <t>จุลชีววิทยาสำหรับงานสาธารณสุข  (สลับแผน)</t>
  </si>
  <si>
    <t>0202 100</t>
  </si>
  <si>
    <t>0202 190</t>
  </si>
  <si>
    <t>0203 110</t>
  </si>
  <si>
    <t>0203 191</t>
  </si>
  <si>
    <t>Advanced Science on the Impact of Nutrition and Health</t>
  </si>
  <si>
    <t xml:space="preserve">การประเมินและการจัดการความเสี่ยง  </t>
  </si>
  <si>
    <t xml:space="preserve">กฎหมายอาชีวอนามัยความปลอดภัย และสิ่งแวดล้อม </t>
  </si>
  <si>
    <t xml:space="preserve">การประเมินความเสี่ยงทางสุขภาพและการจัดการ </t>
  </si>
  <si>
    <t xml:space="preserve">นิเวศวิทยา	</t>
  </si>
  <si>
    <t xml:space="preserve">1407 413  </t>
  </si>
  <si>
    <t>Seminar in Occupational Health and  Safety</t>
  </si>
  <si>
    <t xml:space="preserve">1407 101 </t>
  </si>
  <si>
    <t>1407 106</t>
  </si>
  <si>
    <t>1401 113</t>
  </si>
  <si>
    <t xml:space="preserve">1499 103 </t>
  </si>
  <si>
    <t xml:space="preserve">1499 201 </t>
  </si>
  <si>
    <t xml:space="preserve">1499 202 </t>
  </si>
  <si>
    <t>1401 215</t>
  </si>
  <si>
    <t xml:space="preserve">1499 206 </t>
  </si>
  <si>
    <t>1401 501</t>
  </si>
  <si>
    <t>SEC</t>
  </si>
  <si>
    <t>จำนวน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</si>
</sst>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libri"/>
    </font>
    <font>
      <sz val="14"/>
      <name val="TH SarabunPSK"/>
      <family val="2"/>
    </font>
    <font>
      <b/>
      <sz val="14"/>
      <name val="TH SarabunPSK"/>
      <family val="2"/>
    </font>
    <font>
      <b/>
      <sz val="14"/>
      <color theme="2" tint="-0.499984740745262"/>
      <name val="TH SarabunPSK"/>
      <family val="2"/>
    </font>
    <font>
      <sz val="14"/>
      <color theme="2" tint="-0.499984740745262"/>
      <name val="TH SarabunPSK"/>
      <family val="2"/>
    </font>
    <font>
      <b/>
      <sz val="14"/>
      <color theme="3" tint="-0.249977111117893"/>
      <name val="TH SarabunPSK"/>
      <family val="2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3" borderId="0" applyNumberFormat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6" fillId="3" borderId="0" xfId="1" applyAlignment="1">
      <alignment horizontal="left"/>
    </xf>
    <xf numFmtId="0" fontId="7" fillId="4" borderId="0" xfId="2" applyAlignment="1">
      <alignment horizontal="left"/>
    </xf>
  </cellXfs>
  <cellStyles count="3">
    <cellStyle name="ดี" xfId="1" builtinId="26"/>
    <cellStyle name="ปกติ" xfId="0" builtinId="0"/>
    <cellStyle name="แย่" xfId="2" builtinId="27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C8252-5E70-41A3-A905-C48736BC8693}">
  <dimension ref="A1:O418"/>
  <sheetViews>
    <sheetView tabSelected="1" topLeftCell="A64" zoomScale="115" zoomScaleNormal="115" workbookViewId="0">
      <selection activeCell="E144" sqref="E144"/>
    </sheetView>
  </sheetViews>
  <sheetFormatPr defaultColWidth="8.85546875" defaultRowHeight="21.75"/>
  <cols>
    <col min="1" max="1" width="10.85546875" style="2" customWidth="1"/>
    <col min="2" max="2" width="61.28515625" style="2" customWidth="1"/>
    <col min="3" max="3" width="75.7109375" style="2" customWidth="1"/>
    <col min="4" max="4" width="19.140625" style="2" customWidth="1"/>
    <col min="5" max="5" width="2.140625" style="9" customWidth="1"/>
    <col min="6" max="6" width="2.140625" style="11" customWidth="1"/>
    <col min="7" max="7" width="2.140625" style="10" customWidth="1"/>
    <col min="8" max="8" width="2.140625" style="2" customWidth="1"/>
    <col min="9" max="9" width="3" style="8" bestFit="1" customWidth="1"/>
    <col min="10" max="10" width="2.140625" style="8" bestFit="1" customWidth="1"/>
    <col min="11" max="11" width="3.5703125" style="8" bestFit="1" customWidth="1"/>
    <col min="12" max="16384" width="8.85546875" style="2"/>
  </cols>
  <sheetData>
    <row r="1" spans="1:15" s="6" customFormat="1">
      <c r="A1" s="5" t="s">
        <v>0</v>
      </c>
      <c r="B1" s="5" t="s">
        <v>1</v>
      </c>
      <c r="C1" s="5" t="s">
        <v>2</v>
      </c>
      <c r="D1" s="5" t="s">
        <v>733</v>
      </c>
      <c r="E1" s="9"/>
      <c r="F1" s="11"/>
      <c r="G1" s="10"/>
      <c r="I1" s="7"/>
      <c r="J1" s="7"/>
      <c r="K1" s="7"/>
      <c r="N1" s="6" t="s">
        <v>756</v>
      </c>
      <c r="O1" s="6" t="s">
        <v>757</v>
      </c>
    </row>
    <row r="2" spans="1:15">
      <c r="A2" s="3" t="s">
        <v>3</v>
      </c>
      <c r="B2" s="3" t="s">
        <v>4</v>
      </c>
      <c r="C2" s="3" t="s">
        <v>5</v>
      </c>
      <c r="D2" s="3" t="s">
        <v>6</v>
      </c>
      <c r="E2" s="9" t="str">
        <f>LEFT(D2,1)</f>
        <v>3</v>
      </c>
      <c r="F2" s="11" t="str">
        <f>RIGHT(I2,1)</f>
        <v>3</v>
      </c>
      <c r="G2" s="10" t="str">
        <f>LEFT(K2,1)</f>
        <v>0</v>
      </c>
      <c r="H2" s="2" t="str">
        <f>LEFT(J2,1)</f>
        <v>6</v>
      </c>
      <c r="I2" s="8" t="str">
        <f>LEFT(D2,3)</f>
        <v>3(3</v>
      </c>
      <c r="J2" s="8" t="str">
        <f>RIGHT(D2,2)</f>
        <v>6)</v>
      </c>
      <c r="K2" s="8" t="str">
        <f>RIGHT(D2,4)</f>
        <v>0-6)</v>
      </c>
      <c r="M2" s="2">
        <f>E2*20/2</f>
        <v>30</v>
      </c>
      <c r="N2" s="2">
        <v>81</v>
      </c>
    </row>
    <row r="3" spans="1:15">
      <c r="A3" s="3" t="s">
        <v>7</v>
      </c>
      <c r="B3" s="3" t="s">
        <v>8</v>
      </c>
      <c r="C3" s="3" t="s">
        <v>19</v>
      </c>
      <c r="D3" s="3" t="s">
        <v>6</v>
      </c>
      <c r="E3" s="9" t="str">
        <f>LEFT(D3,1)</f>
        <v>3</v>
      </c>
      <c r="F3" s="11" t="str">
        <f>RIGHT(I3,1)</f>
        <v>3</v>
      </c>
      <c r="G3" s="10" t="str">
        <f t="shared" ref="G3:G8" si="0">LEFT(K3,1)</f>
        <v>0</v>
      </c>
      <c r="H3" s="2" t="str">
        <f>LEFT(J3,1)</f>
        <v>6</v>
      </c>
      <c r="I3" s="8" t="str">
        <f>LEFT(D3,3)</f>
        <v>3(3</v>
      </c>
      <c r="J3" s="8" t="str">
        <f>RIGHT(D3,2)</f>
        <v>6)</v>
      </c>
      <c r="K3" s="8" t="str">
        <f t="shared" ref="K3:K8" si="1">RIGHT(D3,4)</f>
        <v>0-6)</v>
      </c>
      <c r="N3" s="2">
        <v>82</v>
      </c>
    </row>
    <row r="4" spans="1:15">
      <c r="A4" s="3" t="s">
        <v>9</v>
      </c>
      <c r="B4" s="3" t="s">
        <v>10</v>
      </c>
      <c r="C4" s="3" t="s">
        <v>11</v>
      </c>
      <c r="D4" s="3" t="s">
        <v>6</v>
      </c>
      <c r="E4" s="9" t="str">
        <f t="shared" ref="E4:E67" si="2">LEFT(D4,1)</f>
        <v>3</v>
      </c>
      <c r="F4" s="11" t="str">
        <f t="shared" ref="F4:F8" si="3">RIGHT(I4,1)</f>
        <v>3</v>
      </c>
      <c r="G4" s="10" t="str">
        <f t="shared" si="0"/>
        <v>0</v>
      </c>
      <c r="H4" s="2" t="str">
        <f t="shared" ref="H4:H8" si="4">LEFT(J4,1)</f>
        <v>6</v>
      </c>
      <c r="I4" s="8" t="str">
        <f t="shared" ref="I4:I8" si="5">LEFT(D4,3)</f>
        <v>3(3</v>
      </c>
      <c r="J4" s="8" t="str">
        <f t="shared" ref="J4:J8" si="6">RIGHT(D4,2)</f>
        <v>6)</v>
      </c>
      <c r="K4" s="8" t="str">
        <f t="shared" si="1"/>
        <v>0-6)</v>
      </c>
      <c r="N4" s="2">
        <v>83</v>
      </c>
    </row>
    <row r="5" spans="1:15">
      <c r="A5" s="3" t="s">
        <v>12</v>
      </c>
      <c r="B5" s="3" t="s">
        <v>13</v>
      </c>
      <c r="C5" s="3" t="s">
        <v>14</v>
      </c>
      <c r="D5" s="3" t="s">
        <v>6</v>
      </c>
      <c r="E5" s="9" t="str">
        <f t="shared" si="2"/>
        <v>3</v>
      </c>
      <c r="F5" s="11" t="str">
        <f t="shared" si="3"/>
        <v>3</v>
      </c>
      <c r="G5" s="10" t="str">
        <f t="shared" si="0"/>
        <v>0</v>
      </c>
      <c r="H5" s="2" t="str">
        <f t="shared" si="4"/>
        <v>6</v>
      </c>
      <c r="I5" s="8" t="str">
        <f t="shared" si="5"/>
        <v>3(3</v>
      </c>
      <c r="J5" s="8" t="str">
        <f t="shared" si="6"/>
        <v>6)</v>
      </c>
      <c r="K5" s="8" t="str">
        <f t="shared" si="1"/>
        <v>0-6)</v>
      </c>
    </row>
    <row r="6" spans="1:15">
      <c r="A6" s="3" t="s">
        <v>15</v>
      </c>
      <c r="B6" s="3" t="s">
        <v>16</v>
      </c>
      <c r="C6" s="3" t="s">
        <v>17</v>
      </c>
      <c r="D6" s="3" t="s">
        <v>18</v>
      </c>
      <c r="E6" s="9" t="str">
        <f t="shared" si="2"/>
        <v>3</v>
      </c>
      <c r="F6" s="11" t="str">
        <f t="shared" si="3"/>
        <v>2</v>
      </c>
      <c r="G6" s="10" t="str">
        <f t="shared" si="0"/>
        <v>2</v>
      </c>
      <c r="H6" s="2" t="str">
        <f t="shared" si="4"/>
        <v>5</v>
      </c>
      <c r="I6" s="8" t="str">
        <f t="shared" si="5"/>
        <v>3(2</v>
      </c>
      <c r="J6" s="8" t="str">
        <f t="shared" si="6"/>
        <v>5)</v>
      </c>
      <c r="K6" s="8" t="str">
        <f t="shared" si="1"/>
        <v>2-5)</v>
      </c>
    </row>
    <row r="7" spans="1:15">
      <c r="A7" s="3" t="s">
        <v>20</v>
      </c>
      <c r="B7" s="3" t="s">
        <v>21</v>
      </c>
      <c r="C7" s="3" t="s">
        <v>22</v>
      </c>
      <c r="D7" s="3" t="s">
        <v>6</v>
      </c>
      <c r="E7" s="9" t="str">
        <f t="shared" si="2"/>
        <v>3</v>
      </c>
      <c r="F7" s="11" t="str">
        <f t="shared" si="3"/>
        <v>3</v>
      </c>
      <c r="G7" s="10" t="str">
        <f t="shared" si="0"/>
        <v>0</v>
      </c>
      <c r="H7" s="2" t="str">
        <f t="shared" si="4"/>
        <v>6</v>
      </c>
      <c r="I7" s="8" t="str">
        <f t="shared" si="5"/>
        <v>3(3</v>
      </c>
      <c r="J7" s="8" t="str">
        <f t="shared" si="6"/>
        <v>6)</v>
      </c>
      <c r="K7" s="8" t="str">
        <f t="shared" si="1"/>
        <v>0-6)</v>
      </c>
    </row>
    <row r="8" spans="1:15">
      <c r="A8" s="3" t="s">
        <v>23</v>
      </c>
      <c r="B8" s="3" t="s">
        <v>24</v>
      </c>
      <c r="C8" s="3" t="s">
        <v>25</v>
      </c>
      <c r="D8" s="3" t="s">
        <v>6</v>
      </c>
      <c r="E8" s="9" t="str">
        <f t="shared" si="2"/>
        <v>3</v>
      </c>
      <c r="F8" s="11" t="str">
        <f t="shared" si="3"/>
        <v>3</v>
      </c>
      <c r="G8" s="10" t="str">
        <f t="shared" si="0"/>
        <v>0</v>
      </c>
      <c r="H8" s="2" t="str">
        <f t="shared" si="4"/>
        <v>6</v>
      </c>
      <c r="I8" s="8" t="str">
        <f t="shared" si="5"/>
        <v>3(3</v>
      </c>
      <c r="J8" s="8" t="str">
        <f t="shared" si="6"/>
        <v>6)</v>
      </c>
      <c r="K8" s="8" t="str">
        <f t="shared" si="1"/>
        <v>0-6)</v>
      </c>
    </row>
    <row r="9" spans="1:15">
      <c r="A9" s="3" t="s">
        <v>26</v>
      </c>
      <c r="B9" s="3" t="s">
        <v>27</v>
      </c>
      <c r="C9" s="3" t="s">
        <v>28</v>
      </c>
      <c r="D9" s="3" t="s">
        <v>6</v>
      </c>
      <c r="E9" s="9" t="str">
        <f t="shared" si="2"/>
        <v>3</v>
      </c>
      <c r="F9" s="11" t="str">
        <f t="shared" ref="F9:F30" si="7">RIGHT(I9,1)</f>
        <v>3</v>
      </c>
      <c r="G9" s="10" t="str">
        <f t="shared" ref="G9:G30" si="8">LEFT(K9,1)</f>
        <v>0</v>
      </c>
      <c r="H9" s="2" t="str">
        <f t="shared" ref="H9:H30" si="9">LEFT(J9,1)</f>
        <v>6</v>
      </c>
      <c r="I9" s="8" t="str">
        <f t="shared" ref="I9:I30" si="10">LEFT(D9,3)</f>
        <v>3(3</v>
      </c>
      <c r="J9" s="8" t="str">
        <f t="shared" ref="J9:J30" si="11">RIGHT(D9,2)</f>
        <v>6)</v>
      </c>
      <c r="K9" s="8" t="str">
        <f t="shared" ref="K9:K30" si="12">RIGHT(D9,4)</f>
        <v>0-6)</v>
      </c>
    </row>
    <row r="10" spans="1:15">
      <c r="A10" s="3" t="s">
        <v>29</v>
      </c>
      <c r="B10" s="3" t="s">
        <v>30</v>
      </c>
      <c r="C10" s="3" t="s">
        <v>31</v>
      </c>
      <c r="D10" s="3" t="s">
        <v>6</v>
      </c>
      <c r="E10" s="9" t="str">
        <f t="shared" si="2"/>
        <v>3</v>
      </c>
      <c r="F10" s="11" t="str">
        <f t="shared" si="7"/>
        <v>3</v>
      </c>
      <c r="G10" s="10" t="str">
        <f t="shared" si="8"/>
        <v>0</v>
      </c>
      <c r="H10" s="2" t="str">
        <f t="shared" si="9"/>
        <v>6</v>
      </c>
      <c r="I10" s="8" t="str">
        <f t="shared" si="10"/>
        <v>3(3</v>
      </c>
      <c r="J10" s="8" t="str">
        <f t="shared" si="11"/>
        <v>6)</v>
      </c>
      <c r="K10" s="8" t="str">
        <f t="shared" si="12"/>
        <v>0-6)</v>
      </c>
    </row>
    <row r="11" spans="1:15">
      <c r="A11" s="3" t="s">
        <v>32</v>
      </c>
      <c r="B11" s="3" t="s">
        <v>33</v>
      </c>
      <c r="C11" s="3" t="s">
        <v>34</v>
      </c>
      <c r="D11" s="3" t="s">
        <v>18</v>
      </c>
      <c r="E11" s="9" t="str">
        <f t="shared" si="2"/>
        <v>3</v>
      </c>
      <c r="F11" s="11" t="str">
        <f t="shared" si="7"/>
        <v>2</v>
      </c>
      <c r="G11" s="10" t="str">
        <f t="shared" si="8"/>
        <v>2</v>
      </c>
      <c r="H11" s="2" t="str">
        <f t="shared" si="9"/>
        <v>5</v>
      </c>
      <c r="I11" s="8" t="str">
        <f t="shared" si="10"/>
        <v>3(2</v>
      </c>
      <c r="J11" s="8" t="str">
        <f t="shared" si="11"/>
        <v>5)</v>
      </c>
      <c r="K11" s="8" t="str">
        <f t="shared" si="12"/>
        <v>2-5)</v>
      </c>
    </row>
    <row r="12" spans="1:15">
      <c r="A12" s="3" t="s">
        <v>35</v>
      </c>
      <c r="B12" s="3" t="s">
        <v>36</v>
      </c>
      <c r="C12" s="3" t="s">
        <v>37</v>
      </c>
      <c r="D12" s="3" t="s">
        <v>18</v>
      </c>
      <c r="E12" s="9" t="str">
        <f t="shared" si="2"/>
        <v>3</v>
      </c>
      <c r="F12" s="11" t="str">
        <f t="shared" si="7"/>
        <v>2</v>
      </c>
      <c r="G12" s="10" t="str">
        <f t="shared" si="8"/>
        <v>2</v>
      </c>
      <c r="H12" s="2" t="str">
        <f t="shared" si="9"/>
        <v>5</v>
      </c>
      <c r="I12" s="8" t="str">
        <f t="shared" si="10"/>
        <v>3(2</v>
      </c>
      <c r="J12" s="8" t="str">
        <f t="shared" si="11"/>
        <v>5)</v>
      </c>
      <c r="K12" s="8" t="str">
        <f t="shared" si="12"/>
        <v>2-5)</v>
      </c>
    </row>
    <row r="13" spans="1:15">
      <c r="A13" s="3" t="s">
        <v>38</v>
      </c>
      <c r="B13" s="3" t="s">
        <v>39</v>
      </c>
      <c r="C13" s="3" t="s">
        <v>40</v>
      </c>
      <c r="D13" s="3" t="s">
        <v>18</v>
      </c>
      <c r="E13" s="9" t="str">
        <f t="shared" si="2"/>
        <v>3</v>
      </c>
      <c r="F13" s="11" t="str">
        <f t="shared" si="7"/>
        <v>2</v>
      </c>
      <c r="G13" s="10" t="str">
        <f t="shared" si="8"/>
        <v>2</v>
      </c>
      <c r="H13" s="2" t="str">
        <f t="shared" si="9"/>
        <v>5</v>
      </c>
      <c r="I13" s="8" t="str">
        <f t="shared" si="10"/>
        <v>3(2</v>
      </c>
      <c r="J13" s="8" t="str">
        <f t="shared" si="11"/>
        <v>5)</v>
      </c>
      <c r="K13" s="8" t="str">
        <f t="shared" si="12"/>
        <v>2-5)</v>
      </c>
    </row>
    <row r="14" spans="1:15">
      <c r="A14" s="3" t="s">
        <v>41</v>
      </c>
      <c r="B14" s="3" t="s">
        <v>42</v>
      </c>
      <c r="C14" s="3" t="s">
        <v>43</v>
      </c>
      <c r="D14" s="3" t="s">
        <v>6</v>
      </c>
      <c r="E14" s="9" t="str">
        <f t="shared" si="2"/>
        <v>3</v>
      </c>
      <c r="F14" s="11" t="str">
        <f t="shared" si="7"/>
        <v>3</v>
      </c>
      <c r="G14" s="10" t="str">
        <f t="shared" si="8"/>
        <v>0</v>
      </c>
      <c r="H14" s="2" t="str">
        <f t="shared" si="9"/>
        <v>6</v>
      </c>
      <c r="I14" s="8" t="str">
        <f t="shared" si="10"/>
        <v>3(3</v>
      </c>
      <c r="J14" s="8" t="str">
        <f t="shared" si="11"/>
        <v>6)</v>
      </c>
      <c r="K14" s="8" t="str">
        <f t="shared" si="12"/>
        <v>0-6)</v>
      </c>
    </row>
    <row r="15" spans="1:15">
      <c r="A15" s="3" t="s">
        <v>54</v>
      </c>
      <c r="B15" s="3" t="s">
        <v>44</v>
      </c>
      <c r="C15" s="3" t="s">
        <v>11</v>
      </c>
      <c r="D15" s="3" t="s">
        <v>6</v>
      </c>
      <c r="E15" s="9" t="str">
        <f t="shared" si="2"/>
        <v>3</v>
      </c>
      <c r="F15" s="11" t="str">
        <f t="shared" si="7"/>
        <v>3</v>
      </c>
      <c r="G15" s="10" t="str">
        <f t="shared" si="8"/>
        <v>0</v>
      </c>
      <c r="H15" s="2" t="str">
        <f t="shared" si="9"/>
        <v>6</v>
      </c>
      <c r="I15" s="8" t="str">
        <f t="shared" si="10"/>
        <v>3(3</v>
      </c>
      <c r="J15" s="8" t="str">
        <f t="shared" si="11"/>
        <v>6)</v>
      </c>
      <c r="K15" s="8" t="str">
        <f t="shared" si="12"/>
        <v>0-6)</v>
      </c>
    </row>
    <row r="16" spans="1:15">
      <c r="A16" s="3" t="s">
        <v>45</v>
      </c>
      <c r="B16" s="3" t="s">
        <v>46</v>
      </c>
      <c r="C16" s="3" t="s">
        <v>47</v>
      </c>
      <c r="D16" s="3" t="s">
        <v>18</v>
      </c>
      <c r="E16" s="9" t="str">
        <f t="shared" si="2"/>
        <v>3</v>
      </c>
      <c r="F16" s="11" t="str">
        <f t="shared" si="7"/>
        <v>2</v>
      </c>
      <c r="G16" s="10" t="str">
        <f t="shared" si="8"/>
        <v>2</v>
      </c>
      <c r="H16" s="2" t="str">
        <f t="shared" si="9"/>
        <v>5</v>
      </c>
      <c r="I16" s="8" t="str">
        <f t="shared" si="10"/>
        <v>3(2</v>
      </c>
      <c r="J16" s="8" t="str">
        <f t="shared" si="11"/>
        <v>5)</v>
      </c>
      <c r="K16" s="8" t="str">
        <f t="shared" si="12"/>
        <v>2-5)</v>
      </c>
    </row>
    <row r="17" spans="1:11">
      <c r="A17" s="3" t="s">
        <v>48</v>
      </c>
      <c r="B17" s="3" t="s">
        <v>49</v>
      </c>
      <c r="C17" s="3" t="s">
        <v>50</v>
      </c>
      <c r="D17" s="3" t="s">
        <v>18</v>
      </c>
      <c r="E17" s="9" t="str">
        <f t="shared" si="2"/>
        <v>3</v>
      </c>
      <c r="F17" s="11" t="str">
        <f t="shared" si="7"/>
        <v>2</v>
      </c>
      <c r="G17" s="10" t="str">
        <f t="shared" si="8"/>
        <v>2</v>
      </c>
      <c r="H17" s="2" t="str">
        <f t="shared" si="9"/>
        <v>5</v>
      </c>
      <c r="I17" s="8" t="str">
        <f t="shared" si="10"/>
        <v>3(2</v>
      </c>
      <c r="J17" s="8" t="str">
        <f t="shared" si="11"/>
        <v>5)</v>
      </c>
      <c r="K17" s="8" t="str">
        <f t="shared" si="12"/>
        <v>2-5)</v>
      </c>
    </row>
    <row r="18" spans="1:11">
      <c r="A18" s="3" t="s">
        <v>51</v>
      </c>
      <c r="B18" s="3" t="s">
        <v>52</v>
      </c>
      <c r="C18" s="3" t="s">
        <v>53</v>
      </c>
      <c r="D18" s="3" t="s">
        <v>18</v>
      </c>
      <c r="E18" s="9" t="str">
        <f t="shared" si="2"/>
        <v>3</v>
      </c>
      <c r="F18" s="11" t="str">
        <f t="shared" si="7"/>
        <v>2</v>
      </c>
      <c r="G18" s="10" t="str">
        <f t="shared" si="8"/>
        <v>2</v>
      </c>
      <c r="H18" s="2" t="str">
        <f t="shared" si="9"/>
        <v>5</v>
      </c>
      <c r="I18" s="8" t="str">
        <f t="shared" si="10"/>
        <v>3(2</v>
      </c>
      <c r="J18" s="8" t="str">
        <f t="shared" si="11"/>
        <v>5)</v>
      </c>
      <c r="K18" s="8" t="str">
        <f t="shared" si="12"/>
        <v>2-5)</v>
      </c>
    </row>
    <row r="19" spans="1:11">
      <c r="A19" s="3" t="s">
        <v>55</v>
      </c>
      <c r="B19" s="3" t="s">
        <v>56</v>
      </c>
      <c r="C19" s="3" t="s">
        <v>57</v>
      </c>
      <c r="D19" s="3" t="s">
        <v>18</v>
      </c>
      <c r="E19" s="9" t="str">
        <f t="shared" si="2"/>
        <v>3</v>
      </c>
      <c r="F19" s="11" t="str">
        <f t="shared" si="7"/>
        <v>2</v>
      </c>
      <c r="G19" s="10" t="str">
        <f t="shared" si="8"/>
        <v>2</v>
      </c>
      <c r="H19" s="2" t="str">
        <f t="shared" si="9"/>
        <v>5</v>
      </c>
      <c r="I19" s="8" t="str">
        <f t="shared" si="10"/>
        <v>3(2</v>
      </c>
      <c r="J19" s="8" t="str">
        <f t="shared" si="11"/>
        <v>5)</v>
      </c>
      <c r="K19" s="8" t="str">
        <f t="shared" si="12"/>
        <v>2-5)</v>
      </c>
    </row>
    <row r="20" spans="1:11">
      <c r="A20" s="3" t="s">
        <v>58</v>
      </c>
      <c r="B20" s="3" t="s">
        <v>59</v>
      </c>
      <c r="C20" s="3" t="s">
        <v>732</v>
      </c>
      <c r="D20" s="3" t="s">
        <v>18</v>
      </c>
      <c r="E20" s="9" t="str">
        <f t="shared" si="2"/>
        <v>3</v>
      </c>
      <c r="F20" s="11" t="str">
        <f t="shared" si="7"/>
        <v>2</v>
      </c>
      <c r="G20" s="10" t="str">
        <f t="shared" si="8"/>
        <v>2</v>
      </c>
      <c r="H20" s="2" t="str">
        <f t="shared" si="9"/>
        <v>5</v>
      </c>
      <c r="I20" s="8" t="str">
        <f t="shared" si="10"/>
        <v>3(2</v>
      </c>
      <c r="J20" s="8" t="str">
        <f t="shared" si="11"/>
        <v>5)</v>
      </c>
      <c r="K20" s="8" t="str">
        <f t="shared" si="12"/>
        <v>2-5)</v>
      </c>
    </row>
    <row r="21" spans="1:11">
      <c r="A21" s="3" t="s">
        <v>60</v>
      </c>
      <c r="B21" s="3" t="s">
        <v>61</v>
      </c>
      <c r="C21" s="3" t="s">
        <v>62</v>
      </c>
      <c r="D21" s="3" t="s">
        <v>18</v>
      </c>
      <c r="E21" s="9" t="str">
        <f t="shared" si="2"/>
        <v>3</v>
      </c>
      <c r="F21" s="11" t="str">
        <f t="shared" si="7"/>
        <v>2</v>
      </c>
      <c r="G21" s="10" t="str">
        <f t="shared" si="8"/>
        <v>2</v>
      </c>
      <c r="H21" s="2" t="str">
        <f t="shared" si="9"/>
        <v>5</v>
      </c>
      <c r="I21" s="8" t="str">
        <f t="shared" si="10"/>
        <v>3(2</v>
      </c>
      <c r="J21" s="8" t="str">
        <f t="shared" si="11"/>
        <v>5)</v>
      </c>
      <c r="K21" s="8" t="str">
        <f t="shared" si="12"/>
        <v>2-5)</v>
      </c>
    </row>
    <row r="22" spans="1:11">
      <c r="A22" s="3" t="s">
        <v>63</v>
      </c>
      <c r="B22" s="3" t="s">
        <v>64</v>
      </c>
      <c r="C22" s="3" t="s">
        <v>65</v>
      </c>
      <c r="D22" s="3" t="s">
        <v>6</v>
      </c>
      <c r="E22" s="9" t="str">
        <f t="shared" si="2"/>
        <v>3</v>
      </c>
      <c r="F22" s="11" t="str">
        <f t="shared" si="7"/>
        <v>3</v>
      </c>
      <c r="G22" s="10" t="str">
        <f t="shared" si="8"/>
        <v>0</v>
      </c>
      <c r="H22" s="2" t="str">
        <f t="shared" si="9"/>
        <v>6</v>
      </c>
      <c r="I22" s="8" t="str">
        <f t="shared" si="10"/>
        <v>3(3</v>
      </c>
      <c r="J22" s="8" t="str">
        <f t="shared" si="11"/>
        <v>6)</v>
      </c>
      <c r="K22" s="8" t="str">
        <f t="shared" si="12"/>
        <v>0-6)</v>
      </c>
    </row>
    <row r="23" spans="1:11">
      <c r="A23" s="3" t="s">
        <v>66</v>
      </c>
      <c r="B23" s="3" t="s">
        <v>67</v>
      </c>
      <c r="C23" s="3" t="s">
        <v>68</v>
      </c>
      <c r="D23" s="3" t="s">
        <v>6</v>
      </c>
      <c r="E23" s="9" t="str">
        <f t="shared" si="2"/>
        <v>3</v>
      </c>
      <c r="F23" s="11" t="str">
        <f t="shared" si="7"/>
        <v>3</v>
      </c>
      <c r="G23" s="10" t="str">
        <f t="shared" si="8"/>
        <v>0</v>
      </c>
      <c r="H23" s="2" t="str">
        <f t="shared" si="9"/>
        <v>6</v>
      </c>
      <c r="I23" s="8" t="str">
        <f t="shared" si="10"/>
        <v>3(3</v>
      </c>
      <c r="J23" s="8" t="str">
        <f t="shared" si="11"/>
        <v>6)</v>
      </c>
      <c r="K23" s="8" t="str">
        <f t="shared" si="12"/>
        <v>0-6)</v>
      </c>
    </row>
    <row r="24" spans="1:11" ht="43.5">
      <c r="A24" s="3" t="s">
        <v>69</v>
      </c>
      <c r="B24" s="3" t="s">
        <v>70</v>
      </c>
      <c r="C24" s="3" t="s">
        <v>71</v>
      </c>
      <c r="D24" s="3" t="s">
        <v>6</v>
      </c>
      <c r="E24" s="9" t="str">
        <f t="shared" si="2"/>
        <v>3</v>
      </c>
      <c r="F24" s="11" t="str">
        <f t="shared" si="7"/>
        <v>3</v>
      </c>
      <c r="G24" s="10" t="str">
        <f t="shared" si="8"/>
        <v>0</v>
      </c>
      <c r="H24" s="2" t="str">
        <f t="shared" si="9"/>
        <v>6</v>
      </c>
      <c r="I24" s="8" t="str">
        <f t="shared" si="10"/>
        <v>3(3</v>
      </c>
      <c r="J24" s="8" t="str">
        <f t="shared" si="11"/>
        <v>6)</v>
      </c>
      <c r="K24" s="8" t="str">
        <f t="shared" si="12"/>
        <v>0-6)</v>
      </c>
    </row>
    <row r="25" spans="1:11">
      <c r="A25" s="3" t="s">
        <v>72</v>
      </c>
      <c r="B25" s="3" t="s">
        <v>73</v>
      </c>
      <c r="C25" s="3" t="s">
        <v>74</v>
      </c>
      <c r="D25" s="3" t="s">
        <v>75</v>
      </c>
      <c r="E25" s="9" t="str">
        <f t="shared" si="2"/>
        <v>1</v>
      </c>
      <c r="F25" s="11" t="str">
        <f t="shared" si="7"/>
        <v>0</v>
      </c>
      <c r="G25" s="10" t="str">
        <f t="shared" si="8"/>
        <v>2</v>
      </c>
      <c r="H25" s="2" t="str">
        <f t="shared" si="9"/>
        <v>1</v>
      </c>
      <c r="I25" s="8" t="str">
        <f t="shared" si="10"/>
        <v>1(0</v>
      </c>
      <c r="J25" s="8" t="str">
        <f t="shared" si="11"/>
        <v>1)</v>
      </c>
      <c r="K25" s="8" t="str">
        <f t="shared" si="12"/>
        <v>2-1)</v>
      </c>
    </row>
    <row r="26" spans="1:11">
      <c r="A26" s="3" t="s">
        <v>76</v>
      </c>
      <c r="B26" s="3" t="s">
        <v>77</v>
      </c>
      <c r="C26" s="3" t="s">
        <v>78</v>
      </c>
      <c r="D26" s="3" t="s">
        <v>6</v>
      </c>
      <c r="E26" s="9" t="str">
        <f t="shared" si="2"/>
        <v>3</v>
      </c>
      <c r="F26" s="11" t="str">
        <f t="shared" si="7"/>
        <v>3</v>
      </c>
      <c r="G26" s="10" t="str">
        <f t="shared" si="8"/>
        <v>0</v>
      </c>
      <c r="H26" s="2" t="str">
        <f t="shared" si="9"/>
        <v>6</v>
      </c>
      <c r="I26" s="8" t="str">
        <f t="shared" si="10"/>
        <v>3(3</v>
      </c>
      <c r="J26" s="8" t="str">
        <f t="shared" si="11"/>
        <v>6)</v>
      </c>
      <c r="K26" s="8" t="str">
        <f t="shared" si="12"/>
        <v>0-6)</v>
      </c>
    </row>
    <row r="27" spans="1:11">
      <c r="A27" s="3" t="s">
        <v>79</v>
      </c>
      <c r="B27" s="3" t="s">
        <v>80</v>
      </c>
      <c r="C27" s="3" t="s">
        <v>81</v>
      </c>
      <c r="D27" s="3" t="s">
        <v>18</v>
      </c>
      <c r="E27" s="9" t="str">
        <f t="shared" si="2"/>
        <v>3</v>
      </c>
      <c r="F27" s="11" t="str">
        <f t="shared" si="7"/>
        <v>2</v>
      </c>
      <c r="G27" s="10" t="str">
        <f t="shared" si="8"/>
        <v>2</v>
      </c>
      <c r="H27" s="2" t="str">
        <f t="shared" si="9"/>
        <v>5</v>
      </c>
      <c r="I27" s="8" t="str">
        <f t="shared" si="10"/>
        <v>3(2</v>
      </c>
      <c r="J27" s="8" t="str">
        <f t="shared" si="11"/>
        <v>5)</v>
      </c>
      <c r="K27" s="8" t="str">
        <f t="shared" si="12"/>
        <v>2-5)</v>
      </c>
    </row>
    <row r="28" spans="1:11">
      <c r="A28" s="3" t="s">
        <v>82</v>
      </c>
      <c r="B28" s="3" t="s">
        <v>83</v>
      </c>
      <c r="C28" s="3" t="s">
        <v>84</v>
      </c>
      <c r="D28" s="3" t="s">
        <v>6</v>
      </c>
      <c r="E28" s="9" t="str">
        <f t="shared" si="2"/>
        <v>3</v>
      </c>
      <c r="F28" s="11" t="str">
        <f t="shared" si="7"/>
        <v>3</v>
      </c>
      <c r="G28" s="10" t="str">
        <f t="shared" si="8"/>
        <v>0</v>
      </c>
      <c r="H28" s="2" t="str">
        <f t="shared" si="9"/>
        <v>6</v>
      </c>
      <c r="I28" s="8" t="str">
        <f t="shared" si="10"/>
        <v>3(3</v>
      </c>
      <c r="J28" s="8" t="str">
        <f t="shared" si="11"/>
        <v>6)</v>
      </c>
      <c r="K28" s="8" t="str">
        <f t="shared" si="12"/>
        <v>0-6)</v>
      </c>
    </row>
    <row r="29" spans="1:11">
      <c r="A29" s="3" t="s">
        <v>85</v>
      </c>
      <c r="B29" s="3" t="s">
        <v>86</v>
      </c>
      <c r="C29" s="3" t="s">
        <v>87</v>
      </c>
      <c r="D29" s="3" t="s">
        <v>6</v>
      </c>
      <c r="E29" s="9" t="str">
        <f t="shared" si="2"/>
        <v>3</v>
      </c>
      <c r="F29" s="11" t="str">
        <f t="shared" si="7"/>
        <v>3</v>
      </c>
      <c r="G29" s="10" t="str">
        <f t="shared" si="8"/>
        <v>0</v>
      </c>
      <c r="H29" s="2" t="str">
        <f t="shared" si="9"/>
        <v>6</v>
      </c>
      <c r="I29" s="8" t="str">
        <f t="shared" si="10"/>
        <v>3(3</v>
      </c>
      <c r="J29" s="8" t="str">
        <f t="shared" si="11"/>
        <v>6)</v>
      </c>
      <c r="K29" s="8" t="str">
        <f t="shared" si="12"/>
        <v>0-6)</v>
      </c>
    </row>
    <row r="30" spans="1:11">
      <c r="A30" s="3" t="s">
        <v>88</v>
      </c>
      <c r="B30" s="3" t="s">
        <v>89</v>
      </c>
      <c r="C30" s="3" t="s">
        <v>90</v>
      </c>
      <c r="D30" s="3" t="s">
        <v>6</v>
      </c>
      <c r="E30" s="9" t="str">
        <f t="shared" si="2"/>
        <v>3</v>
      </c>
      <c r="F30" s="11" t="str">
        <f t="shared" si="7"/>
        <v>3</v>
      </c>
      <c r="G30" s="10" t="str">
        <f t="shared" si="8"/>
        <v>0</v>
      </c>
      <c r="H30" s="2" t="str">
        <f t="shared" si="9"/>
        <v>6</v>
      </c>
      <c r="I30" s="8" t="str">
        <f t="shared" si="10"/>
        <v>3(3</v>
      </c>
      <c r="J30" s="8" t="str">
        <f t="shared" si="11"/>
        <v>6)</v>
      </c>
      <c r="K30" s="8" t="str">
        <f t="shared" si="12"/>
        <v>0-6)</v>
      </c>
    </row>
    <row r="31" spans="1:11">
      <c r="A31" s="3" t="s">
        <v>91</v>
      </c>
      <c r="B31" s="3" t="s">
        <v>92</v>
      </c>
      <c r="C31" s="3" t="s">
        <v>93</v>
      </c>
      <c r="D31" s="3">
        <v>6</v>
      </c>
    </row>
    <row r="32" spans="1:11">
      <c r="A32" s="3" t="s">
        <v>91</v>
      </c>
      <c r="B32" s="3" t="s">
        <v>92</v>
      </c>
      <c r="C32" s="3" t="s">
        <v>93</v>
      </c>
      <c r="D32" s="3">
        <v>12</v>
      </c>
    </row>
    <row r="33" spans="1:11">
      <c r="A33" s="3" t="s">
        <v>91</v>
      </c>
      <c r="B33" s="3" t="s">
        <v>92</v>
      </c>
      <c r="C33" s="3" t="s">
        <v>93</v>
      </c>
      <c r="D33" s="3">
        <v>12</v>
      </c>
    </row>
    <row r="34" spans="1:11">
      <c r="A34" s="3" t="s">
        <v>94</v>
      </c>
      <c r="B34" s="3" t="s">
        <v>95</v>
      </c>
      <c r="C34" s="3" t="s">
        <v>96</v>
      </c>
      <c r="D34" s="3" t="s">
        <v>6</v>
      </c>
      <c r="E34" s="9" t="str">
        <f t="shared" si="2"/>
        <v>3</v>
      </c>
      <c r="F34" s="11" t="str">
        <f t="shared" ref="F34:F94" si="13">RIGHT(I34,1)</f>
        <v>3</v>
      </c>
      <c r="G34" s="10" t="str">
        <f t="shared" ref="G34:G94" si="14">LEFT(K34,1)</f>
        <v>0</v>
      </c>
      <c r="H34" s="2" t="str">
        <f t="shared" ref="H34:H94" si="15">LEFT(J34,1)</f>
        <v>6</v>
      </c>
      <c r="I34" s="8" t="str">
        <f t="shared" ref="I34:I94" si="16">LEFT(D34,3)</f>
        <v>3(3</v>
      </c>
      <c r="J34" s="8" t="str">
        <f t="shared" ref="J34:J94" si="17">RIGHT(D34,2)</f>
        <v>6)</v>
      </c>
      <c r="K34" s="8" t="str">
        <f t="shared" ref="K34:K94" si="18">RIGHT(D34,4)</f>
        <v>0-6)</v>
      </c>
    </row>
    <row r="35" spans="1:11" ht="43.5">
      <c r="A35" s="3" t="s">
        <v>97</v>
      </c>
      <c r="B35" s="3" t="s">
        <v>98</v>
      </c>
      <c r="C35" s="3" t="s">
        <v>99</v>
      </c>
      <c r="D35" s="3" t="s">
        <v>18</v>
      </c>
      <c r="E35" s="9" t="str">
        <f t="shared" si="2"/>
        <v>3</v>
      </c>
      <c r="F35" s="11" t="str">
        <f t="shared" si="13"/>
        <v>2</v>
      </c>
      <c r="G35" s="10" t="str">
        <f t="shared" si="14"/>
        <v>2</v>
      </c>
      <c r="H35" s="2" t="str">
        <f t="shared" si="15"/>
        <v>5</v>
      </c>
      <c r="I35" s="8" t="str">
        <f t="shared" si="16"/>
        <v>3(2</v>
      </c>
      <c r="J35" s="8" t="str">
        <f t="shared" si="17"/>
        <v>5)</v>
      </c>
      <c r="K35" s="8" t="str">
        <f t="shared" si="18"/>
        <v>2-5)</v>
      </c>
    </row>
    <row r="36" spans="1:11">
      <c r="A36" s="3" t="s">
        <v>100</v>
      </c>
      <c r="B36" s="3" t="s">
        <v>101</v>
      </c>
      <c r="C36" s="3" t="s">
        <v>102</v>
      </c>
      <c r="D36" s="3" t="s">
        <v>18</v>
      </c>
      <c r="E36" s="9" t="str">
        <f t="shared" si="2"/>
        <v>3</v>
      </c>
      <c r="F36" s="11" t="str">
        <f t="shared" si="13"/>
        <v>2</v>
      </c>
      <c r="G36" s="10" t="str">
        <f t="shared" si="14"/>
        <v>2</v>
      </c>
      <c r="H36" s="2" t="str">
        <f t="shared" si="15"/>
        <v>5</v>
      </c>
      <c r="I36" s="8" t="str">
        <f t="shared" si="16"/>
        <v>3(2</v>
      </c>
      <c r="J36" s="8" t="str">
        <f t="shared" si="17"/>
        <v>5)</v>
      </c>
      <c r="K36" s="8" t="str">
        <f t="shared" si="18"/>
        <v>2-5)</v>
      </c>
    </row>
    <row r="37" spans="1:11" ht="43.5">
      <c r="A37" s="3" t="s">
        <v>103</v>
      </c>
      <c r="B37" s="3" t="s">
        <v>104</v>
      </c>
      <c r="C37" s="3" t="s">
        <v>105</v>
      </c>
      <c r="D37" s="3" t="s">
        <v>18</v>
      </c>
      <c r="E37" s="9" t="str">
        <f t="shared" si="2"/>
        <v>3</v>
      </c>
      <c r="F37" s="11" t="str">
        <f t="shared" si="13"/>
        <v>2</v>
      </c>
      <c r="G37" s="10" t="str">
        <f t="shared" si="14"/>
        <v>2</v>
      </c>
      <c r="H37" s="2" t="str">
        <f t="shared" si="15"/>
        <v>5</v>
      </c>
      <c r="I37" s="8" t="str">
        <f t="shared" si="16"/>
        <v>3(2</v>
      </c>
      <c r="J37" s="8" t="str">
        <f t="shared" si="17"/>
        <v>5)</v>
      </c>
      <c r="K37" s="8" t="str">
        <f t="shared" si="18"/>
        <v>2-5)</v>
      </c>
    </row>
    <row r="38" spans="1:11" ht="43.5">
      <c r="A38" s="3" t="s">
        <v>106</v>
      </c>
      <c r="B38" s="3" t="s">
        <v>734</v>
      </c>
      <c r="C38" s="3" t="s">
        <v>740</v>
      </c>
      <c r="D38" s="3" t="s">
        <v>6</v>
      </c>
      <c r="E38" s="9" t="str">
        <f t="shared" si="2"/>
        <v>3</v>
      </c>
      <c r="F38" s="11" t="str">
        <f t="shared" si="13"/>
        <v>3</v>
      </c>
      <c r="G38" s="10" t="str">
        <f t="shared" si="14"/>
        <v>0</v>
      </c>
      <c r="H38" s="2" t="str">
        <f t="shared" si="15"/>
        <v>6</v>
      </c>
      <c r="I38" s="8" t="str">
        <f t="shared" si="16"/>
        <v>3(3</v>
      </c>
      <c r="J38" s="8" t="str">
        <f t="shared" si="17"/>
        <v>6)</v>
      </c>
      <c r="K38" s="8" t="str">
        <f t="shared" si="18"/>
        <v>0-6)</v>
      </c>
    </row>
    <row r="39" spans="1:11">
      <c r="A39" s="3" t="s">
        <v>107</v>
      </c>
      <c r="B39" s="3" t="s">
        <v>108</v>
      </c>
      <c r="C39" s="3" t="s">
        <v>109</v>
      </c>
      <c r="D39" s="3" t="s">
        <v>18</v>
      </c>
      <c r="E39" s="9" t="str">
        <f t="shared" si="2"/>
        <v>3</v>
      </c>
      <c r="F39" s="11" t="str">
        <f t="shared" si="13"/>
        <v>2</v>
      </c>
      <c r="G39" s="10" t="str">
        <f t="shared" si="14"/>
        <v>2</v>
      </c>
      <c r="H39" s="2" t="str">
        <f t="shared" si="15"/>
        <v>5</v>
      </c>
      <c r="I39" s="8" t="str">
        <f t="shared" si="16"/>
        <v>3(2</v>
      </c>
      <c r="J39" s="8" t="str">
        <f t="shared" si="17"/>
        <v>5)</v>
      </c>
      <c r="K39" s="8" t="str">
        <f t="shared" si="18"/>
        <v>2-5)</v>
      </c>
    </row>
    <row r="40" spans="1:11" ht="43.5">
      <c r="A40" s="3" t="s">
        <v>110</v>
      </c>
      <c r="B40" s="3" t="s">
        <v>111</v>
      </c>
      <c r="C40" s="3" t="s">
        <v>112</v>
      </c>
      <c r="D40" s="3" t="s">
        <v>6</v>
      </c>
      <c r="E40" s="9" t="str">
        <f t="shared" si="2"/>
        <v>3</v>
      </c>
      <c r="F40" s="11" t="str">
        <f t="shared" si="13"/>
        <v>3</v>
      </c>
      <c r="G40" s="10" t="str">
        <f t="shared" si="14"/>
        <v>0</v>
      </c>
      <c r="H40" s="2" t="str">
        <f t="shared" si="15"/>
        <v>6</v>
      </c>
      <c r="I40" s="8" t="str">
        <f t="shared" si="16"/>
        <v>3(3</v>
      </c>
      <c r="J40" s="8" t="str">
        <f t="shared" si="17"/>
        <v>6)</v>
      </c>
      <c r="K40" s="8" t="str">
        <f t="shared" si="18"/>
        <v>0-6)</v>
      </c>
    </row>
    <row r="41" spans="1:11" ht="43.5">
      <c r="A41" s="3" t="s">
        <v>113</v>
      </c>
      <c r="B41" s="3" t="s">
        <v>114</v>
      </c>
      <c r="C41" s="3" t="s">
        <v>115</v>
      </c>
      <c r="D41" s="3" t="s">
        <v>6</v>
      </c>
      <c r="E41" s="9" t="str">
        <f t="shared" si="2"/>
        <v>3</v>
      </c>
      <c r="F41" s="11" t="str">
        <f t="shared" si="13"/>
        <v>3</v>
      </c>
      <c r="G41" s="10" t="str">
        <f t="shared" si="14"/>
        <v>0</v>
      </c>
      <c r="H41" s="2" t="str">
        <f t="shared" si="15"/>
        <v>6</v>
      </c>
      <c r="I41" s="8" t="str">
        <f t="shared" si="16"/>
        <v>3(3</v>
      </c>
      <c r="J41" s="8" t="str">
        <f t="shared" si="17"/>
        <v>6)</v>
      </c>
      <c r="K41" s="8" t="str">
        <f t="shared" si="18"/>
        <v>0-6)</v>
      </c>
    </row>
    <row r="42" spans="1:11">
      <c r="A42" s="3" t="s">
        <v>116</v>
      </c>
      <c r="B42" s="3" t="s">
        <v>117</v>
      </c>
      <c r="C42" s="3" t="s">
        <v>118</v>
      </c>
      <c r="D42" s="3" t="s">
        <v>18</v>
      </c>
      <c r="E42" s="9" t="str">
        <f t="shared" si="2"/>
        <v>3</v>
      </c>
      <c r="F42" s="11" t="str">
        <f t="shared" si="13"/>
        <v>2</v>
      </c>
      <c r="G42" s="10" t="str">
        <f t="shared" si="14"/>
        <v>2</v>
      </c>
      <c r="H42" s="2" t="str">
        <f t="shared" si="15"/>
        <v>5</v>
      </c>
      <c r="I42" s="8" t="str">
        <f t="shared" si="16"/>
        <v>3(2</v>
      </c>
      <c r="J42" s="8" t="str">
        <f t="shared" si="17"/>
        <v>5)</v>
      </c>
      <c r="K42" s="8" t="str">
        <f t="shared" si="18"/>
        <v>2-5)</v>
      </c>
    </row>
    <row r="43" spans="1:11">
      <c r="A43" s="3" t="s">
        <v>119</v>
      </c>
      <c r="B43" s="3" t="s">
        <v>120</v>
      </c>
      <c r="C43" s="3" t="s">
        <v>121</v>
      </c>
      <c r="D43" s="3" t="s">
        <v>18</v>
      </c>
      <c r="E43" s="9" t="str">
        <f t="shared" si="2"/>
        <v>3</v>
      </c>
      <c r="F43" s="11" t="str">
        <f t="shared" si="13"/>
        <v>2</v>
      </c>
      <c r="G43" s="10" t="str">
        <f t="shared" si="14"/>
        <v>2</v>
      </c>
      <c r="H43" s="2" t="str">
        <f t="shared" si="15"/>
        <v>5</v>
      </c>
      <c r="I43" s="8" t="str">
        <f t="shared" si="16"/>
        <v>3(2</v>
      </c>
      <c r="J43" s="8" t="str">
        <f t="shared" si="17"/>
        <v>5)</v>
      </c>
      <c r="K43" s="8" t="str">
        <f t="shared" si="18"/>
        <v>2-5)</v>
      </c>
    </row>
    <row r="44" spans="1:11">
      <c r="A44" s="3" t="s">
        <v>60</v>
      </c>
      <c r="B44" s="3" t="s">
        <v>61</v>
      </c>
      <c r="C44" s="3" t="s">
        <v>62</v>
      </c>
      <c r="D44" s="3" t="s">
        <v>18</v>
      </c>
      <c r="E44" s="9" t="str">
        <f t="shared" si="2"/>
        <v>3</v>
      </c>
      <c r="F44" s="11" t="str">
        <f t="shared" si="13"/>
        <v>2</v>
      </c>
      <c r="G44" s="10" t="str">
        <f t="shared" si="14"/>
        <v>2</v>
      </c>
      <c r="H44" s="2" t="str">
        <f t="shared" si="15"/>
        <v>5</v>
      </c>
      <c r="I44" s="8" t="str">
        <f t="shared" si="16"/>
        <v>3(2</v>
      </c>
      <c r="J44" s="8" t="str">
        <f t="shared" si="17"/>
        <v>5)</v>
      </c>
      <c r="K44" s="8" t="str">
        <f t="shared" si="18"/>
        <v>2-5)</v>
      </c>
    </row>
    <row r="45" spans="1:11">
      <c r="A45" s="3" t="s">
        <v>63</v>
      </c>
      <c r="B45" s="3" t="s">
        <v>64</v>
      </c>
      <c r="C45" s="3" t="s">
        <v>65</v>
      </c>
      <c r="D45" s="3" t="s">
        <v>6</v>
      </c>
      <c r="E45" s="9" t="str">
        <f t="shared" si="2"/>
        <v>3</v>
      </c>
      <c r="F45" s="11" t="str">
        <f t="shared" si="13"/>
        <v>3</v>
      </c>
      <c r="G45" s="10" t="str">
        <f t="shared" si="14"/>
        <v>0</v>
      </c>
      <c r="H45" s="2" t="str">
        <f t="shared" si="15"/>
        <v>6</v>
      </c>
      <c r="I45" s="8" t="str">
        <f t="shared" si="16"/>
        <v>3(3</v>
      </c>
      <c r="J45" s="8" t="str">
        <f t="shared" si="17"/>
        <v>6)</v>
      </c>
      <c r="K45" s="8" t="str">
        <f t="shared" si="18"/>
        <v>0-6)</v>
      </c>
    </row>
    <row r="46" spans="1:11">
      <c r="A46" s="3" t="s">
        <v>122</v>
      </c>
      <c r="B46" s="3" t="s">
        <v>123</v>
      </c>
      <c r="C46" s="3" t="s">
        <v>124</v>
      </c>
      <c r="D46" s="3" t="s">
        <v>6</v>
      </c>
      <c r="E46" s="9" t="str">
        <f t="shared" si="2"/>
        <v>3</v>
      </c>
      <c r="F46" s="11" t="str">
        <f t="shared" si="13"/>
        <v>3</v>
      </c>
      <c r="G46" s="10" t="str">
        <f t="shared" si="14"/>
        <v>0</v>
      </c>
      <c r="H46" s="2" t="str">
        <f t="shared" si="15"/>
        <v>6</v>
      </c>
      <c r="I46" s="8" t="str">
        <f t="shared" si="16"/>
        <v>3(3</v>
      </c>
      <c r="J46" s="8" t="str">
        <f t="shared" si="17"/>
        <v>6)</v>
      </c>
      <c r="K46" s="8" t="str">
        <f t="shared" si="18"/>
        <v>0-6)</v>
      </c>
    </row>
    <row r="47" spans="1:11" ht="43.5">
      <c r="A47" s="3" t="s">
        <v>125</v>
      </c>
      <c r="B47" s="3" t="s">
        <v>126</v>
      </c>
      <c r="C47" s="3" t="s">
        <v>127</v>
      </c>
      <c r="D47" s="3" t="s">
        <v>6</v>
      </c>
      <c r="E47" s="9" t="str">
        <f t="shared" si="2"/>
        <v>3</v>
      </c>
      <c r="F47" s="11" t="str">
        <f t="shared" si="13"/>
        <v>3</v>
      </c>
      <c r="G47" s="10" t="str">
        <f t="shared" si="14"/>
        <v>0</v>
      </c>
      <c r="H47" s="2" t="str">
        <f t="shared" si="15"/>
        <v>6</v>
      </c>
      <c r="I47" s="8" t="str">
        <f t="shared" si="16"/>
        <v>3(3</v>
      </c>
      <c r="J47" s="8" t="str">
        <f t="shared" si="17"/>
        <v>6)</v>
      </c>
      <c r="K47" s="8" t="str">
        <f t="shared" si="18"/>
        <v>0-6)</v>
      </c>
    </row>
    <row r="48" spans="1:11" ht="43.5">
      <c r="A48" s="3" t="s">
        <v>128</v>
      </c>
      <c r="B48" s="3" t="s">
        <v>129</v>
      </c>
      <c r="C48" s="3" t="s">
        <v>130</v>
      </c>
      <c r="D48" s="3" t="s">
        <v>6</v>
      </c>
      <c r="E48" s="9" t="str">
        <f t="shared" si="2"/>
        <v>3</v>
      </c>
      <c r="F48" s="11" t="str">
        <f t="shared" si="13"/>
        <v>3</v>
      </c>
      <c r="G48" s="10" t="str">
        <f t="shared" si="14"/>
        <v>0</v>
      </c>
      <c r="H48" s="2" t="str">
        <f t="shared" si="15"/>
        <v>6</v>
      </c>
      <c r="I48" s="8" t="str">
        <f t="shared" si="16"/>
        <v>3(3</v>
      </c>
      <c r="J48" s="8" t="str">
        <f t="shared" si="17"/>
        <v>6)</v>
      </c>
      <c r="K48" s="8" t="str">
        <f t="shared" si="18"/>
        <v>0-6)</v>
      </c>
    </row>
    <row r="49" spans="1:11" ht="43.5">
      <c r="A49" s="3" t="s">
        <v>131</v>
      </c>
      <c r="B49" s="3" t="s">
        <v>132</v>
      </c>
      <c r="C49" s="3" t="s">
        <v>133</v>
      </c>
      <c r="D49" s="3" t="s">
        <v>18</v>
      </c>
      <c r="E49" s="9" t="str">
        <f t="shared" si="2"/>
        <v>3</v>
      </c>
      <c r="F49" s="11" t="str">
        <f t="shared" si="13"/>
        <v>2</v>
      </c>
      <c r="G49" s="10" t="str">
        <f t="shared" si="14"/>
        <v>2</v>
      </c>
      <c r="H49" s="2" t="str">
        <f t="shared" si="15"/>
        <v>5</v>
      </c>
      <c r="I49" s="8" t="str">
        <f t="shared" si="16"/>
        <v>3(2</v>
      </c>
      <c r="J49" s="8" t="str">
        <f t="shared" si="17"/>
        <v>5)</v>
      </c>
      <c r="K49" s="8" t="str">
        <f t="shared" si="18"/>
        <v>2-5)</v>
      </c>
    </row>
    <row r="50" spans="1:11">
      <c r="A50" s="3" t="s">
        <v>134</v>
      </c>
      <c r="B50" s="3" t="s">
        <v>135</v>
      </c>
      <c r="C50" s="3" t="s">
        <v>136</v>
      </c>
      <c r="D50" s="3" t="s">
        <v>75</v>
      </c>
      <c r="E50" s="9" t="str">
        <f t="shared" si="2"/>
        <v>1</v>
      </c>
      <c r="F50" s="11" t="str">
        <f t="shared" si="13"/>
        <v>0</v>
      </c>
      <c r="G50" s="10" t="str">
        <f t="shared" si="14"/>
        <v>2</v>
      </c>
      <c r="H50" s="2" t="str">
        <f t="shared" si="15"/>
        <v>1</v>
      </c>
      <c r="I50" s="8" t="str">
        <f t="shared" si="16"/>
        <v>1(0</v>
      </c>
      <c r="J50" s="8" t="str">
        <f t="shared" si="17"/>
        <v>1)</v>
      </c>
      <c r="K50" s="8" t="str">
        <f t="shared" si="18"/>
        <v>2-1)</v>
      </c>
    </row>
    <row r="51" spans="1:11">
      <c r="A51" s="3" t="s">
        <v>137</v>
      </c>
      <c r="B51" s="3" t="s">
        <v>92</v>
      </c>
      <c r="C51" s="3" t="s">
        <v>138</v>
      </c>
      <c r="D51" s="3">
        <v>3</v>
      </c>
    </row>
    <row r="52" spans="1:11">
      <c r="A52" s="3" t="s">
        <v>139</v>
      </c>
      <c r="B52" s="3" t="s">
        <v>140</v>
      </c>
      <c r="C52" s="3" t="s">
        <v>141</v>
      </c>
      <c r="D52" s="3" t="s">
        <v>18</v>
      </c>
      <c r="E52" s="9" t="str">
        <f t="shared" si="2"/>
        <v>3</v>
      </c>
      <c r="F52" s="11" t="str">
        <f t="shared" si="13"/>
        <v>2</v>
      </c>
      <c r="G52" s="10" t="str">
        <f t="shared" si="14"/>
        <v>2</v>
      </c>
      <c r="H52" s="2" t="str">
        <f t="shared" si="15"/>
        <v>5</v>
      </c>
      <c r="I52" s="8" t="str">
        <f t="shared" si="16"/>
        <v>3(2</v>
      </c>
      <c r="J52" s="8" t="str">
        <f t="shared" si="17"/>
        <v>5)</v>
      </c>
      <c r="K52" s="8" t="str">
        <f t="shared" si="18"/>
        <v>2-5)</v>
      </c>
    </row>
    <row r="53" spans="1:11">
      <c r="A53" s="3" t="s">
        <v>142</v>
      </c>
      <c r="B53" s="3" t="s">
        <v>143</v>
      </c>
      <c r="C53" s="3" t="s">
        <v>144</v>
      </c>
      <c r="D53" s="3" t="s">
        <v>18</v>
      </c>
      <c r="E53" s="9" t="str">
        <f t="shared" si="2"/>
        <v>3</v>
      </c>
      <c r="F53" s="11" t="str">
        <f t="shared" si="13"/>
        <v>2</v>
      </c>
      <c r="G53" s="10" t="str">
        <f t="shared" si="14"/>
        <v>2</v>
      </c>
      <c r="H53" s="2" t="str">
        <f t="shared" si="15"/>
        <v>5</v>
      </c>
      <c r="I53" s="8" t="str">
        <f t="shared" si="16"/>
        <v>3(2</v>
      </c>
      <c r="J53" s="8" t="str">
        <f t="shared" si="17"/>
        <v>5)</v>
      </c>
      <c r="K53" s="8" t="str">
        <f t="shared" si="18"/>
        <v>2-5)</v>
      </c>
    </row>
    <row r="54" spans="1:11">
      <c r="A54" s="3" t="s">
        <v>145</v>
      </c>
      <c r="B54" s="3" t="s">
        <v>146</v>
      </c>
      <c r="C54" s="3" t="s">
        <v>147</v>
      </c>
      <c r="D54" s="3" t="s">
        <v>6</v>
      </c>
      <c r="E54" s="9" t="str">
        <f t="shared" si="2"/>
        <v>3</v>
      </c>
      <c r="F54" s="11" t="str">
        <f t="shared" si="13"/>
        <v>3</v>
      </c>
      <c r="G54" s="10" t="str">
        <f t="shared" si="14"/>
        <v>0</v>
      </c>
      <c r="H54" s="2" t="str">
        <f t="shared" si="15"/>
        <v>6</v>
      </c>
      <c r="I54" s="8" t="str">
        <f t="shared" si="16"/>
        <v>3(3</v>
      </c>
      <c r="J54" s="8" t="str">
        <f t="shared" si="17"/>
        <v>6)</v>
      </c>
      <c r="K54" s="8" t="str">
        <f t="shared" si="18"/>
        <v>0-6)</v>
      </c>
    </row>
    <row r="55" spans="1:11">
      <c r="A55" s="3" t="s">
        <v>148</v>
      </c>
      <c r="B55" s="3" t="s">
        <v>149</v>
      </c>
      <c r="C55" s="3" t="s">
        <v>150</v>
      </c>
      <c r="D55" s="3" t="s">
        <v>6</v>
      </c>
      <c r="E55" s="9" t="str">
        <f t="shared" si="2"/>
        <v>3</v>
      </c>
      <c r="F55" s="11" t="str">
        <f t="shared" si="13"/>
        <v>3</v>
      </c>
      <c r="G55" s="10" t="str">
        <f t="shared" si="14"/>
        <v>0</v>
      </c>
      <c r="H55" s="2" t="str">
        <f t="shared" si="15"/>
        <v>6</v>
      </c>
      <c r="I55" s="8" t="str">
        <f t="shared" si="16"/>
        <v>3(3</v>
      </c>
      <c r="J55" s="8" t="str">
        <f t="shared" si="17"/>
        <v>6)</v>
      </c>
      <c r="K55" s="8" t="str">
        <f t="shared" si="18"/>
        <v>0-6)</v>
      </c>
    </row>
    <row r="56" spans="1:11">
      <c r="A56" s="3" t="s">
        <v>151</v>
      </c>
      <c r="B56" s="3" t="s">
        <v>152</v>
      </c>
      <c r="C56" s="3" t="s">
        <v>153</v>
      </c>
      <c r="D56" s="3" t="s">
        <v>6</v>
      </c>
      <c r="E56" s="9" t="str">
        <f t="shared" si="2"/>
        <v>3</v>
      </c>
      <c r="F56" s="11" t="str">
        <f t="shared" si="13"/>
        <v>3</v>
      </c>
      <c r="G56" s="10" t="str">
        <f t="shared" si="14"/>
        <v>0</v>
      </c>
      <c r="H56" s="2" t="str">
        <f t="shared" si="15"/>
        <v>6</v>
      </c>
      <c r="I56" s="8" t="str">
        <f t="shared" si="16"/>
        <v>3(3</v>
      </c>
      <c r="J56" s="8" t="str">
        <f t="shared" si="17"/>
        <v>6)</v>
      </c>
      <c r="K56" s="8" t="str">
        <f t="shared" si="18"/>
        <v>0-6)</v>
      </c>
    </row>
    <row r="57" spans="1:11">
      <c r="A57" s="3" t="s">
        <v>154</v>
      </c>
      <c r="B57" s="3" t="s">
        <v>155</v>
      </c>
      <c r="C57" s="3" t="s">
        <v>156</v>
      </c>
      <c r="D57" s="3" t="s">
        <v>6</v>
      </c>
      <c r="E57" s="9" t="str">
        <f t="shared" si="2"/>
        <v>3</v>
      </c>
      <c r="F57" s="11" t="str">
        <f t="shared" si="13"/>
        <v>3</v>
      </c>
      <c r="G57" s="10" t="str">
        <f t="shared" si="14"/>
        <v>0</v>
      </c>
      <c r="H57" s="2" t="str">
        <f t="shared" si="15"/>
        <v>6</v>
      </c>
      <c r="I57" s="8" t="str">
        <f t="shared" si="16"/>
        <v>3(3</v>
      </c>
      <c r="J57" s="8" t="str">
        <f t="shared" si="17"/>
        <v>6)</v>
      </c>
      <c r="K57" s="8" t="str">
        <f t="shared" si="18"/>
        <v>0-6)</v>
      </c>
    </row>
    <row r="58" spans="1:11" ht="43.5">
      <c r="A58" s="3" t="s">
        <v>157</v>
      </c>
      <c r="B58" s="3" t="s">
        <v>158</v>
      </c>
      <c r="C58" s="3" t="s">
        <v>159</v>
      </c>
      <c r="D58" s="3" t="s">
        <v>18</v>
      </c>
      <c r="E58" s="9" t="str">
        <f t="shared" si="2"/>
        <v>3</v>
      </c>
      <c r="F58" s="11" t="str">
        <f t="shared" si="13"/>
        <v>2</v>
      </c>
      <c r="G58" s="10" t="str">
        <f t="shared" si="14"/>
        <v>2</v>
      </c>
      <c r="H58" s="2" t="str">
        <f t="shared" si="15"/>
        <v>5</v>
      </c>
      <c r="I58" s="8" t="str">
        <f t="shared" si="16"/>
        <v>3(2</v>
      </c>
      <c r="J58" s="8" t="str">
        <f t="shared" si="17"/>
        <v>5)</v>
      </c>
      <c r="K58" s="8" t="str">
        <f t="shared" si="18"/>
        <v>2-5)</v>
      </c>
    </row>
    <row r="59" spans="1:11">
      <c r="A59" s="3" t="s">
        <v>160</v>
      </c>
      <c r="B59" s="3" t="s">
        <v>161</v>
      </c>
      <c r="C59" s="3" t="s">
        <v>162</v>
      </c>
      <c r="D59" s="3" t="s">
        <v>18</v>
      </c>
      <c r="E59" s="9" t="str">
        <f t="shared" si="2"/>
        <v>3</v>
      </c>
      <c r="F59" s="11" t="str">
        <f t="shared" si="13"/>
        <v>2</v>
      </c>
      <c r="G59" s="10" t="str">
        <f t="shared" si="14"/>
        <v>2</v>
      </c>
      <c r="H59" s="2" t="str">
        <f t="shared" si="15"/>
        <v>5</v>
      </c>
      <c r="I59" s="8" t="str">
        <f t="shared" si="16"/>
        <v>3(2</v>
      </c>
      <c r="J59" s="8" t="str">
        <f t="shared" si="17"/>
        <v>5)</v>
      </c>
      <c r="K59" s="8" t="str">
        <f t="shared" si="18"/>
        <v>2-5)</v>
      </c>
    </row>
    <row r="60" spans="1:11" ht="43.5">
      <c r="A60" s="3" t="s">
        <v>163</v>
      </c>
      <c r="B60" s="3" t="s">
        <v>164</v>
      </c>
      <c r="C60" s="3" t="s">
        <v>165</v>
      </c>
      <c r="D60" s="3" t="s">
        <v>18</v>
      </c>
      <c r="E60" s="9" t="str">
        <f t="shared" si="2"/>
        <v>3</v>
      </c>
      <c r="F60" s="11" t="str">
        <f t="shared" si="13"/>
        <v>2</v>
      </c>
      <c r="G60" s="10" t="str">
        <f t="shared" si="14"/>
        <v>2</v>
      </c>
      <c r="H60" s="2" t="str">
        <f t="shared" si="15"/>
        <v>5</v>
      </c>
      <c r="I60" s="8" t="str">
        <f t="shared" si="16"/>
        <v>3(2</v>
      </c>
      <c r="J60" s="8" t="str">
        <f t="shared" si="17"/>
        <v>5)</v>
      </c>
      <c r="K60" s="8" t="str">
        <f t="shared" si="18"/>
        <v>2-5)</v>
      </c>
    </row>
    <row r="61" spans="1:11">
      <c r="A61" s="3" t="s">
        <v>166</v>
      </c>
      <c r="B61" s="3" t="s">
        <v>167</v>
      </c>
      <c r="C61" s="3" t="s">
        <v>168</v>
      </c>
      <c r="D61" s="3" t="s">
        <v>169</v>
      </c>
      <c r="E61" s="9" t="str">
        <f t="shared" si="2"/>
        <v>2</v>
      </c>
      <c r="F61" s="11" t="str">
        <f t="shared" si="13"/>
        <v>1</v>
      </c>
      <c r="G61" s="10" t="str">
        <f t="shared" si="14"/>
        <v>2</v>
      </c>
      <c r="H61" s="2" t="str">
        <f t="shared" si="15"/>
        <v>3</v>
      </c>
      <c r="I61" s="8" t="str">
        <f t="shared" si="16"/>
        <v>2(1</v>
      </c>
      <c r="J61" s="8" t="str">
        <f t="shared" si="17"/>
        <v>3)</v>
      </c>
      <c r="K61" s="8" t="str">
        <f t="shared" si="18"/>
        <v>2-3)</v>
      </c>
    </row>
    <row r="62" spans="1:11">
      <c r="A62" s="3" t="s">
        <v>170</v>
      </c>
      <c r="B62" s="3" t="s">
        <v>171</v>
      </c>
      <c r="C62" s="3" t="s">
        <v>172</v>
      </c>
      <c r="D62" s="3" t="s">
        <v>6</v>
      </c>
      <c r="E62" s="9" t="str">
        <f t="shared" si="2"/>
        <v>3</v>
      </c>
      <c r="F62" s="11" t="str">
        <f t="shared" si="13"/>
        <v>3</v>
      </c>
      <c r="G62" s="10" t="str">
        <f t="shared" si="14"/>
        <v>0</v>
      </c>
      <c r="H62" s="2" t="str">
        <f t="shared" si="15"/>
        <v>6</v>
      </c>
      <c r="I62" s="8" t="str">
        <f t="shared" si="16"/>
        <v>3(3</v>
      </c>
      <c r="J62" s="8" t="str">
        <f t="shared" si="17"/>
        <v>6)</v>
      </c>
      <c r="K62" s="8" t="str">
        <f t="shared" si="18"/>
        <v>0-6)</v>
      </c>
    </row>
    <row r="63" spans="1:11">
      <c r="A63" s="3" t="s">
        <v>173</v>
      </c>
      <c r="B63" s="3" t="s">
        <v>174</v>
      </c>
      <c r="C63" s="3" t="s">
        <v>175</v>
      </c>
      <c r="D63" s="3" t="s">
        <v>6</v>
      </c>
      <c r="E63" s="9" t="str">
        <f t="shared" si="2"/>
        <v>3</v>
      </c>
      <c r="F63" s="11" t="str">
        <f t="shared" si="13"/>
        <v>3</v>
      </c>
      <c r="G63" s="10" t="str">
        <f t="shared" si="14"/>
        <v>0</v>
      </c>
      <c r="H63" s="2" t="str">
        <f t="shared" si="15"/>
        <v>6</v>
      </c>
      <c r="I63" s="8" t="str">
        <f t="shared" si="16"/>
        <v>3(3</v>
      </c>
      <c r="J63" s="8" t="str">
        <f t="shared" si="17"/>
        <v>6)</v>
      </c>
      <c r="K63" s="8" t="str">
        <f t="shared" si="18"/>
        <v>0-6)</v>
      </c>
    </row>
    <row r="64" spans="1:11" ht="43.5">
      <c r="A64" s="4" t="s">
        <v>176</v>
      </c>
      <c r="B64" s="4" t="s">
        <v>177</v>
      </c>
      <c r="C64" s="4" t="s">
        <v>178</v>
      </c>
      <c r="D64" s="4" t="s">
        <v>6</v>
      </c>
      <c r="E64" s="9" t="str">
        <f t="shared" si="2"/>
        <v>3</v>
      </c>
      <c r="F64" s="11" t="str">
        <f t="shared" si="13"/>
        <v>3</v>
      </c>
      <c r="G64" s="10" t="str">
        <f t="shared" si="14"/>
        <v>0</v>
      </c>
      <c r="H64" s="2" t="str">
        <f t="shared" si="15"/>
        <v>6</v>
      </c>
      <c r="I64" s="8" t="str">
        <f t="shared" si="16"/>
        <v>3(3</v>
      </c>
      <c r="J64" s="8" t="str">
        <f t="shared" si="17"/>
        <v>6)</v>
      </c>
      <c r="K64" s="8" t="str">
        <f t="shared" si="18"/>
        <v>0-6)</v>
      </c>
    </row>
    <row r="65" spans="1:11" ht="43.5">
      <c r="A65" s="4" t="s">
        <v>179</v>
      </c>
      <c r="B65" s="4" t="s">
        <v>180</v>
      </c>
      <c r="C65" s="4" t="s">
        <v>181</v>
      </c>
      <c r="D65" s="4" t="s">
        <v>18</v>
      </c>
      <c r="E65" s="9" t="str">
        <f t="shared" si="2"/>
        <v>3</v>
      </c>
      <c r="F65" s="11" t="str">
        <f t="shared" si="13"/>
        <v>2</v>
      </c>
      <c r="G65" s="10" t="str">
        <f t="shared" si="14"/>
        <v>2</v>
      </c>
      <c r="H65" s="2" t="str">
        <f t="shared" si="15"/>
        <v>5</v>
      </c>
      <c r="I65" s="8" t="str">
        <f t="shared" si="16"/>
        <v>3(2</v>
      </c>
      <c r="J65" s="8" t="str">
        <f t="shared" si="17"/>
        <v>5)</v>
      </c>
      <c r="K65" s="8" t="str">
        <f t="shared" si="18"/>
        <v>2-5)</v>
      </c>
    </row>
    <row r="66" spans="1:11">
      <c r="A66" s="3" t="s">
        <v>182</v>
      </c>
      <c r="B66" s="3" t="s">
        <v>183</v>
      </c>
      <c r="C66" s="3" t="s">
        <v>184</v>
      </c>
      <c r="D66" s="3" t="s">
        <v>6</v>
      </c>
      <c r="E66" s="9" t="str">
        <f t="shared" si="2"/>
        <v>3</v>
      </c>
      <c r="F66" s="11" t="str">
        <f t="shared" si="13"/>
        <v>3</v>
      </c>
      <c r="G66" s="10" t="str">
        <f t="shared" si="14"/>
        <v>0</v>
      </c>
      <c r="H66" s="2" t="str">
        <f t="shared" si="15"/>
        <v>6</v>
      </c>
      <c r="I66" s="8" t="str">
        <f t="shared" si="16"/>
        <v>3(3</v>
      </c>
      <c r="J66" s="8" t="str">
        <f t="shared" si="17"/>
        <v>6)</v>
      </c>
      <c r="K66" s="8" t="str">
        <f t="shared" si="18"/>
        <v>0-6)</v>
      </c>
    </row>
    <row r="67" spans="1:11" ht="43.5">
      <c r="A67" s="3" t="s">
        <v>185</v>
      </c>
      <c r="B67" s="3" t="s">
        <v>186</v>
      </c>
      <c r="C67" s="3" t="s">
        <v>187</v>
      </c>
      <c r="D67" s="3" t="s">
        <v>18</v>
      </c>
      <c r="E67" s="9" t="str">
        <f t="shared" si="2"/>
        <v>3</v>
      </c>
      <c r="F67" s="11" t="str">
        <f t="shared" si="13"/>
        <v>2</v>
      </c>
      <c r="G67" s="10" t="str">
        <f t="shared" si="14"/>
        <v>2</v>
      </c>
      <c r="H67" s="2" t="str">
        <f t="shared" si="15"/>
        <v>5</v>
      </c>
      <c r="I67" s="8" t="str">
        <f t="shared" si="16"/>
        <v>3(2</v>
      </c>
      <c r="J67" s="8" t="str">
        <f t="shared" si="17"/>
        <v>5)</v>
      </c>
      <c r="K67" s="8" t="str">
        <f t="shared" si="18"/>
        <v>2-5)</v>
      </c>
    </row>
    <row r="68" spans="1:11">
      <c r="A68" s="3" t="s">
        <v>188</v>
      </c>
      <c r="B68" s="3" t="s">
        <v>189</v>
      </c>
      <c r="C68" s="3" t="s">
        <v>190</v>
      </c>
      <c r="D68" s="3" t="s">
        <v>6</v>
      </c>
      <c r="E68" s="9" t="str">
        <f t="shared" ref="E68:E131" si="19">LEFT(D68,1)</f>
        <v>3</v>
      </c>
      <c r="F68" s="11" t="str">
        <f t="shared" si="13"/>
        <v>3</v>
      </c>
      <c r="G68" s="10" t="str">
        <f t="shared" si="14"/>
        <v>0</v>
      </c>
      <c r="H68" s="2" t="str">
        <f t="shared" si="15"/>
        <v>6</v>
      </c>
      <c r="I68" s="8" t="str">
        <f t="shared" si="16"/>
        <v>3(3</v>
      </c>
      <c r="J68" s="8" t="str">
        <f t="shared" si="17"/>
        <v>6)</v>
      </c>
      <c r="K68" s="8" t="str">
        <f t="shared" si="18"/>
        <v>0-6)</v>
      </c>
    </row>
    <row r="69" spans="1:11">
      <c r="A69" s="3" t="s">
        <v>191</v>
      </c>
      <c r="B69" s="3" t="s">
        <v>192</v>
      </c>
      <c r="C69" s="3" t="s">
        <v>193</v>
      </c>
      <c r="D69" s="3" t="s">
        <v>6</v>
      </c>
      <c r="E69" s="9" t="str">
        <f t="shared" si="19"/>
        <v>3</v>
      </c>
      <c r="F69" s="11" t="str">
        <f t="shared" si="13"/>
        <v>3</v>
      </c>
      <c r="G69" s="10" t="str">
        <f t="shared" si="14"/>
        <v>0</v>
      </c>
      <c r="H69" s="2" t="str">
        <f t="shared" si="15"/>
        <v>6</v>
      </c>
      <c r="I69" s="8" t="str">
        <f t="shared" si="16"/>
        <v>3(3</v>
      </c>
      <c r="J69" s="8" t="str">
        <f t="shared" si="17"/>
        <v>6)</v>
      </c>
      <c r="K69" s="8" t="str">
        <f t="shared" si="18"/>
        <v>0-6)</v>
      </c>
    </row>
    <row r="70" spans="1:11">
      <c r="A70" s="3" t="s">
        <v>194</v>
      </c>
      <c r="B70" s="3" t="s">
        <v>195</v>
      </c>
      <c r="C70" s="3" t="s">
        <v>196</v>
      </c>
      <c r="D70" s="3" t="s">
        <v>18</v>
      </c>
      <c r="E70" s="9" t="str">
        <f t="shared" si="19"/>
        <v>3</v>
      </c>
      <c r="F70" s="11" t="str">
        <f t="shared" si="13"/>
        <v>2</v>
      </c>
      <c r="G70" s="10" t="str">
        <f t="shared" si="14"/>
        <v>2</v>
      </c>
      <c r="H70" s="2" t="str">
        <f t="shared" si="15"/>
        <v>5</v>
      </c>
      <c r="I70" s="8" t="str">
        <f t="shared" si="16"/>
        <v>3(2</v>
      </c>
      <c r="J70" s="8" t="str">
        <f t="shared" si="17"/>
        <v>5)</v>
      </c>
      <c r="K70" s="8" t="str">
        <f t="shared" si="18"/>
        <v>2-5)</v>
      </c>
    </row>
    <row r="71" spans="1:11">
      <c r="A71" s="3" t="s">
        <v>197</v>
      </c>
      <c r="B71" s="3" t="s">
        <v>198</v>
      </c>
      <c r="C71" s="3" t="s">
        <v>199</v>
      </c>
      <c r="D71" s="3" t="s">
        <v>200</v>
      </c>
      <c r="E71" s="9" t="str">
        <f t="shared" si="19"/>
        <v>2</v>
      </c>
      <c r="F71" s="11" t="str">
        <f t="shared" si="13"/>
        <v>2</v>
      </c>
      <c r="G71" s="10" t="str">
        <f t="shared" si="14"/>
        <v>0</v>
      </c>
      <c r="H71" s="2" t="str">
        <f t="shared" si="15"/>
        <v>4</v>
      </c>
      <c r="I71" s="8" t="str">
        <f t="shared" si="16"/>
        <v>2(2</v>
      </c>
      <c r="J71" s="8" t="str">
        <f t="shared" si="17"/>
        <v>4)</v>
      </c>
      <c r="K71" s="8" t="str">
        <f t="shared" si="18"/>
        <v>0-4)</v>
      </c>
    </row>
    <row r="72" spans="1:11" ht="43.5">
      <c r="A72" s="3" t="s">
        <v>201</v>
      </c>
      <c r="B72" s="3" t="s">
        <v>203</v>
      </c>
      <c r="C72" s="3" t="s">
        <v>202</v>
      </c>
      <c r="D72" s="3" t="s">
        <v>200</v>
      </c>
      <c r="E72" s="9" t="str">
        <f t="shared" si="19"/>
        <v>2</v>
      </c>
      <c r="F72" s="11" t="str">
        <f t="shared" si="13"/>
        <v>2</v>
      </c>
      <c r="G72" s="10" t="str">
        <f t="shared" si="14"/>
        <v>0</v>
      </c>
      <c r="H72" s="2" t="str">
        <f t="shared" si="15"/>
        <v>4</v>
      </c>
      <c r="I72" s="8" t="str">
        <f t="shared" si="16"/>
        <v>2(2</v>
      </c>
      <c r="J72" s="8" t="str">
        <f t="shared" si="17"/>
        <v>4)</v>
      </c>
      <c r="K72" s="8" t="str">
        <f t="shared" si="18"/>
        <v>0-4)</v>
      </c>
    </row>
    <row r="73" spans="1:11">
      <c r="A73" s="3" t="s">
        <v>479</v>
      </c>
      <c r="B73" s="3" t="s">
        <v>204</v>
      </c>
      <c r="C73" s="3" t="s">
        <v>205</v>
      </c>
      <c r="D73" s="3" t="s">
        <v>6</v>
      </c>
      <c r="E73" s="9" t="str">
        <f t="shared" si="19"/>
        <v>3</v>
      </c>
      <c r="F73" s="11" t="str">
        <f t="shared" si="13"/>
        <v>3</v>
      </c>
      <c r="G73" s="10" t="str">
        <f t="shared" si="14"/>
        <v>0</v>
      </c>
      <c r="H73" s="2" t="str">
        <f t="shared" si="15"/>
        <v>6</v>
      </c>
      <c r="I73" s="8" t="str">
        <f t="shared" si="16"/>
        <v>3(3</v>
      </c>
      <c r="J73" s="8" t="str">
        <f t="shared" si="17"/>
        <v>6)</v>
      </c>
      <c r="K73" s="8" t="str">
        <f t="shared" si="18"/>
        <v>0-6)</v>
      </c>
    </row>
    <row r="74" spans="1:11">
      <c r="A74" s="3" t="s">
        <v>736</v>
      </c>
      <c r="B74" s="3" t="s">
        <v>206</v>
      </c>
      <c r="C74" s="3" t="s">
        <v>207</v>
      </c>
      <c r="D74" s="3" t="s">
        <v>6</v>
      </c>
      <c r="E74" s="9" t="str">
        <f t="shared" si="19"/>
        <v>3</v>
      </c>
      <c r="F74" s="11" t="str">
        <f t="shared" si="13"/>
        <v>3</v>
      </c>
      <c r="G74" s="10" t="str">
        <f t="shared" si="14"/>
        <v>0</v>
      </c>
      <c r="H74" s="2" t="str">
        <f t="shared" si="15"/>
        <v>6</v>
      </c>
      <c r="I74" s="8" t="str">
        <f t="shared" si="16"/>
        <v>3(3</v>
      </c>
      <c r="J74" s="8" t="str">
        <f t="shared" si="17"/>
        <v>6)</v>
      </c>
      <c r="K74" s="8" t="str">
        <f t="shared" si="18"/>
        <v>0-6)</v>
      </c>
    </row>
    <row r="75" spans="1:11">
      <c r="A75" s="3" t="s">
        <v>737</v>
      </c>
      <c r="B75" s="3" t="s">
        <v>208</v>
      </c>
      <c r="C75" s="3" t="s">
        <v>209</v>
      </c>
      <c r="D75" s="3" t="s">
        <v>210</v>
      </c>
      <c r="E75" s="9" t="str">
        <f t="shared" si="19"/>
        <v>1</v>
      </c>
      <c r="F75" s="11" t="str">
        <f t="shared" si="13"/>
        <v>0</v>
      </c>
      <c r="G75" s="10" t="str">
        <f t="shared" si="14"/>
        <v>3</v>
      </c>
      <c r="H75" s="2" t="str">
        <f t="shared" si="15"/>
        <v>0</v>
      </c>
      <c r="I75" s="8" t="str">
        <f t="shared" si="16"/>
        <v>1(0</v>
      </c>
      <c r="J75" s="8" t="str">
        <f t="shared" si="17"/>
        <v>0)</v>
      </c>
      <c r="K75" s="8" t="str">
        <f t="shared" si="18"/>
        <v>3-0)</v>
      </c>
    </row>
    <row r="76" spans="1:11">
      <c r="A76" s="3" t="s">
        <v>738</v>
      </c>
      <c r="B76" s="3" t="s">
        <v>211</v>
      </c>
      <c r="C76" s="3" t="s">
        <v>212</v>
      </c>
      <c r="D76" s="3" t="s">
        <v>6</v>
      </c>
      <c r="E76" s="9" t="str">
        <f t="shared" si="19"/>
        <v>3</v>
      </c>
      <c r="F76" s="11" t="str">
        <f t="shared" si="13"/>
        <v>3</v>
      </c>
      <c r="G76" s="10" t="str">
        <f t="shared" si="14"/>
        <v>0</v>
      </c>
      <c r="H76" s="2" t="str">
        <f t="shared" si="15"/>
        <v>6</v>
      </c>
      <c r="I76" s="8" t="str">
        <f t="shared" si="16"/>
        <v>3(3</v>
      </c>
      <c r="J76" s="8" t="str">
        <f t="shared" si="17"/>
        <v>6)</v>
      </c>
      <c r="K76" s="8" t="str">
        <f t="shared" si="18"/>
        <v>0-6)</v>
      </c>
    </row>
    <row r="77" spans="1:11">
      <c r="A77" s="3" t="s">
        <v>739</v>
      </c>
      <c r="B77" s="3" t="s">
        <v>213</v>
      </c>
      <c r="C77" s="3" t="s">
        <v>214</v>
      </c>
      <c r="D77" s="3" t="s">
        <v>215</v>
      </c>
      <c r="E77" s="9" t="str">
        <f t="shared" si="19"/>
        <v>1</v>
      </c>
      <c r="F77" s="11" t="str">
        <f t="shared" si="13"/>
        <v>0</v>
      </c>
      <c r="G77" s="10" t="str">
        <f t="shared" si="14"/>
        <v>3</v>
      </c>
      <c r="H77" s="2" t="str">
        <f t="shared" si="15"/>
        <v>1</v>
      </c>
      <c r="I77" s="8" t="str">
        <f t="shared" si="16"/>
        <v>1(0</v>
      </c>
      <c r="J77" s="8" t="str">
        <f t="shared" si="17"/>
        <v>1)</v>
      </c>
      <c r="K77" s="8" t="str">
        <f t="shared" si="18"/>
        <v>3-1)</v>
      </c>
    </row>
    <row r="78" spans="1:11">
      <c r="A78" s="3" t="s">
        <v>216</v>
      </c>
      <c r="B78" s="3" t="s">
        <v>217</v>
      </c>
      <c r="C78" s="3" t="s">
        <v>218</v>
      </c>
      <c r="D78" s="3" t="s">
        <v>18</v>
      </c>
      <c r="E78" s="9" t="str">
        <f t="shared" si="19"/>
        <v>3</v>
      </c>
      <c r="F78" s="11" t="str">
        <f t="shared" si="13"/>
        <v>2</v>
      </c>
      <c r="G78" s="10" t="str">
        <f t="shared" si="14"/>
        <v>2</v>
      </c>
      <c r="H78" s="2" t="str">
        <f t="shared" si="15"/>
        <v>5</v>
      </c>
      <c r="I78" s="8" t="str">
        <f t="shared" si="16"/>
        <v>3(2</v>
      </c>
      <c r="J78" s="8" t="str">
        <f t="shared" si="17"/>
        <v>5)</v>
      </c>
      <c r="K78" s="8" t="str">
        <f t="shared" si="18"/>
        <v>2-5)</v>
      </c>
    </row>
    <row r="79" spans="1:11">
      <c r="A79" s="3" t="s">
        <v>219</v>
      </c>
      <c r="B79" s="3" t="s">
        <v>220</v>
      </c>
      <c r="C79" s="3" t="s">
        <v>221</v>
      </c>
      <c r="D79" s="3" t="s">
        <v>200</v>
      </c>
      <c r="E79" s="9" t="str">
        <f t="shared" si="19"/>
        <v>2</v>
      </c>
      <c r="F79" s="11" t="str">
        <f t="shared" si="13"/>
        <v>2</v>
      </c>
      <c r="G79" s="10" t="str">
        <f t="shared" si="14"/>
        <v>0</v>
      </c>
      <c r="H79" s="2" t="str">
        <f t="shared" si="15"/>
        <v>4</v>
      </c>
      <c r="I79" s="8" t="str">
        <f t="shared" si="16"/>
        <v>2(2</v>
      </c>
      <c r="J79" s="8" t="str">
        <f t="shared" si="17"/>
        <v>4)</v>
      </c>
      <c r="K79" s="8" t="str">
        <f t="shared" si="18"/>
        <v>0-4)</v>
      </c>
    </row>
    <row r="80" spans="1:11">
      <c r="A80" s="3" t="s">
        <v>222</v>
      </c>
      <c r="B80" s="3" t="s">
        <v>223</v>
      </c>
      <c r="C80" s="3"/>
      <c r="D80" s="3" t="s">
        <v>200</v>
      </c>
      <c r="E80" s="9" t="str">
        <f t="shared" si="19"/>
        <v>2</v>
      </c>
      <c r="F80" s="11" t="str">
        <f t="shared" si="13"/>
        <v>2</v>
      </c>
      <c r="G80" s="10" t="str">
        <f t="shared" si="14"/>
        <v>0</v>
      </c>
      <c r="H80" s="2" t="str">
        <f t="shared" si="15"/>
        <v>4</v>
      </c>
      <c r="I80" s="8" t="str">
        <f t="shared" si="16"/>
        <v>2(2</v>
      </c>
      <c r="J80" s="8" t="str">
        <f t="shared" si="17"/>
        <v>4)</v>
      </c>
      <c r="K80" s="8" t="str">
        <f t="shared" si="18"/>
        <v>0-4)</v>
      </c>
    </row>
    <row r="81" spans="1:11">
      <c r="A81" s="3" t="s">
        <v>225</v>
      </c>
      <c r="B81" s="3" t="s">
        <v>226</v>
      </c>
      <c r="C81" s="3"/>
      <c r="D81" s="3" t="s">
        <v>200</v>
      </c>
      <c r="E81" s="9" t="str">
        <f t="shared" si="19"/>
        <v>2</v>
      </c>
      <c r="F81" s="11" t="str">
        <f t="shared" si="13"/>
        <v>2</v>
      </c>
      <c r="G81" s="10" t="str">
        <f t="shared" si="14"/>
        <v>0</v>
      </c>
      <c r="H81" s="2" t="str">
        <f t="shared" si="15"/>
        <v>4</v>
      </c>
      <c r="I81" s="8" t="str">
        <f t="shared" si="16"/>
        <v>2(2</v>
      </c>
      <c r="J81" s="8" t="str">
        <f t="shared" si="17"/>
        <v>4)</v>
      </c>
      <c r="K81" s="8" t="str">
        <f t="shared" si="18"/>
        <v>0-4)</v>
      </c>
    </row>
    <row r="82" spans="1:11">
      <c r="A82" s="3" t="s">
        <v>227</v>
      </c>
      <c r="B82" s="3" t="s">
        <v>228</v>
      </c>
      <c r="C82" s="3" t="s">
        <v>229</v>
      </c>
      <c r="D82" s="3" t="s">
        <v>6</v>
      </c>
      <c r="E82" s="9" t="str">
        <f t="shared" si="19"/>
        <v>3</v>
      </c>
      <c r="F82" s="11" t="str">
        <f t="shared" si="13"/>
        <v>3</v>
      </c>
      <c r="G82" s="10" t="str">
        <f t="shared" si="14"/>
        <v>0</v>
      </c>
      <c r="H82" s="2" t="str">
        <f t="shared" si="15"/>
        <v>6</v>
      </c>
      <c r="I82" s="8" t="str">
        <f t="shared" si="16"/>
        <v>3(3</v>
      </c>
      <c r="J82" s="8" t="str">
        <f t="shared" si="17"/>
        <v>6)</v>
      </c>
      <c r="K82" s="8" t="str">
        <f t="shared" si="18"/>
        <v>0-6)</v>
      </c>
    </row>
    <row r="83" spans="1:11">
      <c r="A83" s="3" t="s">
        <v>230</v>
      </c>
      <c r="B83" s="3" t="s">
        <v>231</v>
      </c>
      <c r="C83" s="3" t="s">
        <v>232</v>
      </c>
      <c r="D83" s="3" t="s">
        <v>6</v>
      </c>
      <c r="E83" s="9" t="str">
        <f t="shared" si="19"/>
        <v>3</v>
      </c>
      <c r="F83" s="11" t="str">
        <f t="shared" si="13"/>
        <v>3</v>
      </c>
      <c r="G83" s="10" t="str">
        <f t="shared" si="14"/>
        <v>0</v>
      </c>
      <c r="H83" s="2" t="str">
        <f t="shared" si="15"/>
        <v>6</v>
      </c>
      <c r="I83" s="8" t="str">
        <f t="shared" si="16"/>
        <v>3(3</v>
      </c>
      <c r="J83" s="8" t="str">
        <f t="shared" si="17"/>
        <v>6)</v>
      </c>
      <c r="K83" s="8" t="str">
        <f t="shared" si="18"/>
        <v>0-6)</v>
      </c>
    </row>
    <row r="84" spans="1:11">
      <c r="A84" s="3" t="s">
        <v>233</v>
      </c>
      <c r="B84" s="3" t="s">
        <v>234</v>
      </c>
      <c r="C84" s="3" t="s">
        <v>235</v>
      </c>
      <c r="D84" s="3" t="s">
        <v>215</v>
      </c>
      <c r="E84" s="9" t="str">
        <f t="shared" si="19"/>
        <v>1</v>
      </c>
      <c r="F84" s="11" t="str">
        <f t="shared" si="13"/>
        <v>0</v>
      </c>
      <c r="G84" s="10" t="str">
        <f t="shared" si="14"/>
        <v>3</v>
      </c>
      <c r="H84" s="2" t="str">
        <f t="shared" si="15"/>
        <v>1</v>
      </c>
      <c r="I84" s="8" t="str">
        <f t="shared" si="16"/>
        <v>1(0</v>
      </c>
      <c r="J84" s="8" t="str">
        <f t="shared" si="17"/>
        <v>1)</v>
      </c>
      <c r="K84" s="8" t="str">
        <f t="shared" si="18"/>
        <v>3-1)</v>
      </c>
    </row>
    <row r="85" spans="1:11">
      <c r="A85" s="3" t="s">
        <v>236</v>
      </c>
      <c r="B85" s="3" t="s">
        <v>237</v>
      </c>
      <c r="C85" s="3" t="s">
        <v>238</v>
      </c>
      <c r="D85" s="3" t="s">
        <v>6</v>
      </c>
      <c r="E85" s="9" t="str">
        <f t="shared" si="19"/>
        <v>3</v>
      </c>
      <c r="F85" s="11" t="str">
        <f t="shared" si="13"/>
        <v>3</v>
      </c>
      <c r="G85" s="10" t="str">
        <f t="shared" si="14"/>
        <v>0</v>
      </c>
      <c r="H85" s="2" t="str">
        <f t="shared" si="15"/>
        <v>6</v>
      </c>
      <c r="I85" s="8" t="str">
        <f t="shared" si="16"/>
        <v>3(3</v>
      </c>
      <c r="J85" s="8" t="str">
        <f t="shared" si="17"/>
        <v>6)</v>
      </c>
      <c r="K85" s="8" t="str">
        <f t="shared" si="18"/>
        <v>0-6)</v>
      </c>
    </row>
    <row r="86" spans="1:11">
      <c r="A86" s="3" t="s">
        <v>747</v>
      </c>
      <c r="B86" s="3" t="s">
        <v>744</v>
      </c>
      <c r="C86" s="3" t="s">
        <v>240</v>
      </c>
      <c r="D86" s="3" t="s">
        <v>18</v>
      </c>
      <c r="E86" s="9" t="str">
        <f t="shared" si="19"/>
        <v>3</v>
      </c>
      <c r="F86" s="11" t="str">
        <f t="shared" si="13"/>
        <v>2</v>
      </c>
      <c r="G86" s="10" t="str">
        <f t="shared" si="14"/>
        <v>2</v>
      </c>
      <c r="H86" s="2" t="str">
        <f t="shared" si="15"/>
        <v>5</v>
      </c>
      <c r="I86" s="8" t="str">
        <f t="shared" si="16"/>
        <v>3(2</v>
      </c>
      <c r="J86" s="8" t="str">
        <f t="shared" si="17"/>
        <v>5)</v>
      </c>
      <c r="K86" s="8" t="str">
        <f t="shared" si="18"/>
        <v>2-5)</v>
      </c>
    </row>
    <row r="87" spans="1:11">
      <c r="A87" s="3" t="s">
        <v>748</v>
      </c>
      <c r="B87" s="3" t="s">
        <v>744</v>
      </c>
      <c r="C87" s="3" t="s">
        <v>240</v>
      </c>
      <c r="D87" s="3" t="s">
        <v>18</v>
      </c>
      <c r="E87" s="9" t="str">
        <f t="shared" si="19"/>
        <v>3</v>
      </c>
      <c r="F87" s="11" t="str">
        <f t="shared" si="13"/>
        <v>2</v>
      </c>
      <c r="G87" s="10" t="str">
        <f t="shared" si="14"/>
        <v>2</v>
      </c>
      <c r="H87" s="2" t="str">
        <f t="shared" si="15"/>
        <v>5</v>
      </c>
      <c r="I87" s="8" t="str">
        <f t="shared" si="16"/>
        <v>3(2</v>
      </c>
      <c r="J87" s="8" t="str">
        <f t="shared" si="17"/>
        <v>5)</v>
      </c>
      <c r="K87" s="8" t="str">
        <f t="shared" si="18"/>
        <v>2-5)</v>
      </c>
    </row>
    <row r="88" spans="1:11" ht="43.5">
      <c r="A88" s="3" t="s">
        <v>750</v>
      </c>
      <c r="B88" s="3" t="s">
        <v>242</v>
      </c>
      <c r="C88" s="3" t="s">
        <v>243</v>
      </c>
      <c r="D88" s="3" t="s">
        <v>18</v>
      </c>
      <c r="E88" s="9" t="str">
        <f t="shared" si="19"/>
        <v>3</v>
      </c>
      <c r="F88" s="11" t="str">
        <f t="shared" si="13"/>
        <v>2</v>
      </c>
      <c r="G88" s="10" t="str">
        <f t="shared" si="14"/>
        <v>2</v>
      </c>
      <c r="H88" s="2" t="str">
        <f t="shared" si="15"/>
        <v>5</v>
      </c>
      <c r="I88" s="8" t="str">
        <f t="shared" si="16"/>
        <v>3(2</v>
      </c>
      <c r="J88" s="8" t="str">
        <f t="shared" si="17"/>
        <v>5)</v>
      </c>
      <c r="K88" s="8" t="str">
        <f t="shared" si="18"/>
        <v>2-5)</v>
      </c>
    </row>
    <row r="89" spans="1:11" ht="43.5">
      <c r="A89" s="3" t="s">
        <v>749</v>
      </c>
      <c r="B89" s="3" t="s">
        <v>242</v>
      </c>
      <c r="C89" s="3" t="s">
        <v>243</v>
      </c>
      <c r="D89" s="3" t="s">
        <v>18</v>
      </c>
      <c r="E89" s="9" t="str">
        <f t="shared" si="19"/>
        <v>3</v>
      </c>
      <c r="F89" s="11" t="str">
        <f t="shared" si="13"/>
        <v>2</v>
      </c>
      <c r="G89" s="10" t="str">
        <f t="shared" si="14"/>
        <v>2</v>
      </c>
      <c r="H89" s="2" t="str">
        <f t="shared" si="15"/>
        <v>5</v>
      </c>
      <c r="I89" s="8" t="str">
        <f t="shared" si="16"/>
        <v>3(2</v>
      </c>
      <c r="J89" s="8" t="str">
        <f t="shared" si="17"/>
        <v>5)</v>
      </c>
      <c r="K89" s="8" t="str">
        <f t="shared" si="18"/>
        <v>2-5)</v>
      </c>
    </row>
    <row r="90" spans="1:11">
      <c r="A90" s="3" t="s">
        <v>244</v>
      </c>
      <c r="B90" s="3" t="s">
        <v>245</v>
      </c>
      <c r="C90" s="3"/>
      <c r="D90" s="3" t="s">
        <v>200</v>
      </c>
      <c r="E90" s="9" t="str">
        <f t="shared" si="19"/>
        <v>2</v>
      </c>
      <c r="F90" s="11" t="str">
        <f t="shared" si="13"/>
        <v>2</v>
      </c>
      <c r="G90" s="10" t="str">
        <f t="shared" si="14"/>
        <v>0</v>
      </c>
      <c r="H90" s="2" t="str">
        <f t="shared" si="15"/>
        <v>4</v>
      </c>
      <c r="I90" s="8" t="str">
        <f t="shared" si="16"/>
        <v>2(2</v>
      </c>
      <c r="J90" s="8" t="str">
        <f t="shared" si="17"/>
        <v>4)</v>
      </c>
      <c r="K90" s="8" t="str">
        <f t="shared" si="18"/>
        <v>0-4)</v>
      </c>
    </row>
    <row r="91" spans="1:11">
      <c r="A91" s="3" t="s">
        <v>246</v>
      </c>
      <c r="B91" s="3" t="s">
        <v>247</v>
      </c>
      <c r="C91" s="3" t="s">
        <v>248</v>
      </c>
      <c r="D91" s="3" t="s">
        <v>210</v>
      </c>
      <c r="E91" s="9" t="str">
        <f t="shared" si="19"/>
        <v>1</v>
      </c>
      <c r="F91" s="11" t="str">
        <f t="shared" si="13"/>
        <v>0</v>
      </c>
      <c r="G91" s="10" t="str">
        <f t="shared" si="14"/>
        <v>3</v>
      </c>
      <c r="H91" s="2" t="str">
        <f t="shared" si="15"/>
        <v>0</v>
      </c>
      <c r="I91" s="8" t="str">
        <f t="shared" si="16"/>
        <v>1(0</v>
      </c>
      <c r="J91" s="8" t="str">
        <f t="shared" si="17"/>
        <v>0)</v>
      </c>
      <c r="K91" s="8" t="str">
        <f t="shared" si="18"/>
        <v>3-0)</v>
      </c>
    </row>
    <row r="92" spans="1:11">
      <c r="A92" s="3" t="s">
        <v>249</v>
      </c>
      <c r="B92" s="3" t="s">
        <v>250</v>
      </c>
      <c r="C92" s="3" t="s">
        <v>251</v>
      </c>
      <c r="D92" s="3" t="s">
        <v>6</v>
      </c>
      <c r="E92" s="9" t="str">
        <f t="shared" si="19"/>
        <v>3</v>
      </c>
      <c r="F92" s="11" t="str">
        <f t="shared" si="13"/>
        <v>3</v>
      </c>
      <c r="G92" s="10" t="str">
        <f t="shared" si="14"/>
        <v>0</v>
      </c>
      <c r="H92" s="2" t="str">
        <f t="shared" si="15"/>
        <v>6</v>
      </c>
      <c r="I92" s="8" t="str">
        <f t="shared" si="16"/>
        <v>3(3</v>
      </c>
      <c r="J92" s="8" t="str">
        <f t="shared" si="17"/>
        <v>6)</v>
      </c>
      <c r="K92" s="8" t="str">
        <f t="shared" si="18"/>
        <v>0-6)</v>
      </c>
    </row>
    <row r="93" spans="1:11">
      <c r="A93" s="3" t="s">
        <v>751</v>
      </c>
      <c r="B93" s="3" t="s">
        <v>252</v>
      </c>
      <c r="C93" s="3" t="s">
        <v>253</v>
      </c>
      <c r="D93" s="3" t="s">
        <v>6</v>
      </c>
      <c r="E93" s="9" t="str">
        <f t="shared" si="19"/>
        <v>3</v>
      </c>
      <c r="F93" s="11" t="str">
        <f t="shared" si="13"/>
        <v>3</v>
      </c>
      <c r="G93" s="10" t="str">
        <f t="shared" si="14"/>
        <v>0</v>
      </c>
      <c r="H93" s="2" t="str">
        <f t="shared" si="15"/>
        <v>6</v>
      </c>
      <c r="I93" s="8" t="str">
        <f t="shared" si="16"/>
        <v>3(3</v>
      </c>
      <c r="J93" s="8" t="str">
        <f t="shared" si="17"/>
        <v>6)</v>
      </c>
      <c r="K93" s="8" t="str">
        <f t="shared" si="18"/>
        <v>0-6)</v>
      </c>
    </row>
    <row r="94" spans="1:11">
      <c r="A94" s="3" t="s">
        <v>395</v>
      </c>
      <c r="B94" s="3" t="s">
        <v>252</v>
      </c>
      <c r="C94" s="3" t="s">
        <v>253</v>
      </c>
      <c r="D94" s="3" t="s">
        <v>6</v>
      </c>
      <c r="E94" s="9" t="str">
        <f t="shared" si="19"/>
        <v>3</v>
      </c>
      <c r="F94" s="11" t="str">
        <f t="shared" si="13"/>
        <v>3</v>
      </c>
      <c r="G94" s="10" t="str">
        <f t="shared" si="14"/>
        <v>0</v>
      </c>
      <c r="H94" s="2" t="str">
        <f t="shared" si="15"/>
        <v>6</v>
      </c>
      <c r="I94" s="8" t="str">
        <f t="shared" si="16"/>
        <v>3(3</v>
      </c>
      <c r="J94" s="8" t="str">
        <f t="shared" si="17"/>
        <v>6)</v>
      </c>
      <c r="K94" s="8" t="str">
        <f t="shared" si="18"/>
        <v>0-6)</v>
      </c>
    </row>
    <row r="95" spans="1:11">
      <c r="A95" s="3" t="s">
        <v>752</v>
      </c>
      <c r="B95" s="3" t="s">
        <v>254</v>
      </c>
      <c r="C95" s="3" t="s">
        <v>255</v>
      </c>
      <c r="D95" s="3" t="s">
        <v>6</v>
      </c>
      <c r="E95" s="9" t="str">
        <f t="shared" si="19"/>
        <v>3</v>
      </c>
      <c r="F95" s="11" t="str">
        <f t="shared" ref="F95:F158" si="20">RIGHT(I95,1)</f>
        <v>3</v>
      </c>
      <c r="G95" s="10" t="str">
        <f t="shared" ref="G95:G158" si="21">LEFT(K95,1)</f>
        <v>0</v>
      </c>
      <c r="H95" s="2" t="str">
        <f t="shared" ref="H95:H158" si="22">LEFT(J95,1)</f>
        <v>6</v>
      </c>
      <c r="I95" s="8" t="str">
        <f t="shared" ref="I95:I158" si="23">LEFT(D95,3)</f>
        <v>3(3</v>
      </c>
      <c r="J95" s="8" t="str">
        <f t="shared" ref="J95:J158" si="24">RIGHT(D95,2)</f>
        <v>6)</v>
      </c>
      <c r="K95" s="8" t="str">
        <f t="shared" ref="K95:K158" si="25">RIGHT(D95,4)</f>
        <v>0-6)</v>
      </c>
    </row>
    <row r="96" spans="1:11">
      <c r="A96" s="3" t="s">
        <v>753</v>
      </c>
      <c r="B96" s="3" t="s">
        <v>254</v>
      </c>
      <c r="C96" s="3" t="s">
        <v>255</v>
      </c>
      <c r="D96" s="3" t="s">
        <v>6</v>
      </c>
      <c r="E96" s="9" t="str">
        <f t="shared" si="19"/>
        <v>3</v>
      </c>
      <c r="F96" s="11" t="str">
        <f t="shared" si="20"/>
        <v>3</v>
      </c>
      <c r="G96" s="10" t="str">
        <f t="shared" si="21"/>
        <v>0</v>
      </c>
      <c r="H96" s="2" t="str">
        <f t="shared" si="22"/>
        <v>6</v>
      </c>
      <c r="I96" s="8" t="str">
        <f t="shared" si="23"/>
        <v>3(3</v>
      </c>
      <c r="J96" s="8" t="str">
        <f t="shared" si="24"/>
        <v>6)</v>
      </c>
      <c r="K96" s="8" t="str">
        <f t="shared" si="25"/>
        <v>0-6)</v>
      </c>
    </row>
    <row r="97" spans="1:11" ht="43.5">
      <c r="A97" s="3" t="s">
        <v>256</v>
      </c>
      <c r="B97" s="3" t="s">
        <v>257</v>
      </c>
      <c r="C97" s="3" t="s">
        <v>258</v>
      </c>
      <c r="D97" s="3" t="s">
        <v>18</v>
      </c>
      <c r="E97" s="9" t="str">
        <f t="shared" si="19"/>
        <v>3</v>
      </c>
      <c r="F97" s="11" t="str">
        <f t="shared" si="20"/>
        <v>2</v>
      </c>
      <c r="G97" s="10" t="str">
        <f t="shared" si="21"/>
        <v>2</v>
      </c>
      <c r="H97" s="2" t="str">
        <f t="shared" si="22"/>
        <v>5</v>
      </c>
      <c r="I97" s="8" t="str">
        <f t="shared" si="23"/>
        <v>3(2</v>
      </c>
      <c r="J97" s="8" t="str">
        <f t="shared" si="24"/>
        <v>5)</v>
      </c>
      <c r="K97" s="8" t="str">
        <f t="shared" si="25"/>
        <v>2-5)</v>
      </c>
    </row>
    <row r="98" spans="1:11" ht="43.5">
      <c r="A98" s="3" t="s">
        <v>259</v>
      </c>
      <c r="B98" s="3" t="s">
        <v>260</v>
      </c>
      <c r="C98" s="3" t="s">
        <v>261</v>
      </c>
      <c r="D98" s="3" t="s">
        <v>18</v>
      </c>
      <c r="E98" s="9" t="str">
        <f t="shared" si="19"/>
        <v>3</v>
      </c>
      <c r="F98" s="11" t="str">
        <f t="shared" si="20"/>
        <v>2</v>
      </c>
      <c r="G98" s="10" t="str">
        <f t="shared" si="21"/>
        <v>2</v>
      </c>
      <c r="H98" s="2" t="str">
        <f t="shared" si="22"/>
        <v>5</v>
      </c>
      <c r="I98" s="8" t="str">
        <f t="shared" si="23"/>
        <v>3(2</v>
      </c>
      <c r="J98" s="8" t="str">
        <f t="shared" si="24"/>
        <v>5)</v>
      </c>
      <c r="K98" s="8" t="str">
        <f t="shared" si="25"/>
        <v>2-5)</v>
      </c>
    </row>
    <row r="99" spans="1:11">
      <c r="A99" s="3" t="s">
        <v>262</v>
      </c>
      <c r="B99" s="3" t="s">
        <v>263</v>
      </c>
      <c r="C99" s="3" t="s">
        <v>264</v>
      </c>
      <c r="D99" s="3" t="s">
        <v>6</v>
      </c>
      <c r="E99" s="9" t="str">
        <f t="shared" si="19"/>
        <v>3</v>
      </c>
      <c r="F99" s="11" t="str">
        <f t="shared" si="20"/>
        <v>3</v>
      </c>
      <c r="G99" s="10" t="str">
        <f t="shared" si="21"/>
        <v>0</v>
      </c>
      <c r="H99" s="2" t="str">
        <f t="shared" si="22"/>
        <v>6</v>
      </c>
      <c r="I99" s="8" t="str">
        <f t="shared" si="23"/>
        <v>3(3</v>
      </c>
      <c r="J99" s="8" t="str">
        <f t="shared" si="24"/>
        <v>6)</v>
      </c>
      <c r="K99" s="8" t="str">
        <f t="shared" si="25"/>
        <v>0-6)</v>
      </c>
    </row>
    <row r="100" spans="1:11" ht="43.5">
      <c r="A100" s="3" t="s">
        <v>265</v>
      </c>
      <c r="B100" s="3" t="s">
        <v>266</v>
      </c>
      <c r="C100" s="3" t="s">
        <v>267</v>
      </c>
      <c r="D100" s="3" t="s">
        <v>6</v>
      </c>
      <c r="E100" s="9" t="str">
        <f t="shared" si="19"/>
        <v>3</v>
      </c>
      <c r="F100" s="11" t="str">
        <f t="shared" si="20"/>
        <v>3</v>
      </c>
      <c r="G100" s="10" t="str">
        <f t="shared" si="21"/>
        <v>0</v>
      </c>
      <c r="H100" s="2" t="str">
        <f t="shared" si="22"/>
        <v>6</v>
      </c>
      <c r="I100" s="8" t="str">
        <f t="shared" si="23"/>
        <v>3(3</v>
      </c>
      <c r="J100" s="8" t="str">
        <f t="shared" si="24"/>
        <v>6)</v>
      </c>
      <c r="K100" s="8" t="str">
        <f t="shared" si="25"/>
        <v>0-6)</v>
      </c>
    </row>
    <row r="101" spans="1:11">
      <c r="A101" s="3" t="s">
        <v>754</v>
      </c>
      <c r="B101" s="3" t="s">
        <v>268</v>
      </c>
      <c r="C101" s="3" t="s">
        <v>269</v>
      </c>
      <c r="D101" s="3" t="s">
        <v>6</v>
      </c>
      <c r="E101" s="9" t="str">
        <f t="shared" si="19"/>
        <v>3</v>
      </c>
      <c r="F101" s="11" t="str">
        <f t="shared" si="20"/>
        <v>3</v>
      </c>
      <c r="G101" s="10" t="str">
        <f t="shared" si="21"/>
        <v>0</v>
      </c>
      <c r="H101" s="2" t="str">
        <f t="shared" si="22"/>
        <v>6</v>
      </c>
      <c r="I101" s="8" t="str">
        <f t="shared" si="23"/>
        <v>3(3</v>
      </c>
      <c r="J101" s="8" t="str">
        <f t="shared" si="24"/>
        <v>6)</v>
      </c>
      <c r="K101" s="8" t="str">
        <f t="shared" si="25"/>
        <v>0-6)</v>
      </c>
    </row>
    <row r="102" spans="1:11">
      <c r="A102" s="3" t="s">
        <v>755</v>
      </c>
      <c r="B102" s="3" t="s">
        <v>268</v>
      </c>
      <c r="C102" s="3" t="s">
        <v>269</v>
      </c>
      <c r="D102" s="3" t="s">
        <v>6</v>
      </c>
      <c r="E102" s="9" t="str">
        <f t="shared" si="19"/>
        <v>3</v>
      </c>
      <c r="F102" s="11" t="str">
        <f t="shared" si="20"/>
        <v>3</v>
      </c>
      <c r="G102" s="10" t="str">
        <f t="shared" si="21"/>
        <v>0</v>
      </c>
      <c r="H102" s="2" t="str">
        <f t="shared" si="22"/>
        <v>6</v>
      </c>
      <c r="I102" s="8" t="str">
        <f t="shared" si="23"/>
        <v>3(3</v>
      </c>
      <c r="J102" s="8" t="str">
        <f t="shared" si="24"/>
        <v>6)</v>
      </c>
      <c r="K102" s="8" t="str">
        <f t="shared" si="25"/>
        <v>0-6)</v>
      </c>
    </row>
    <row r="103" spans="1:11">
      <c r="A103" s="3" t="s">
        <v>270</v>
      </c>
      <c r="B103" s="3" t="s">
        <v>271</v>
      </c>
      <c r="C103" s="3" t="s">
        <v>272</v>
      </c>
      <c r="D103" s="3" t="s">
        <v>18</v>
      </c>
      <c r="E103" s="9" t="str">
        <f t="shared" si="19"/>
        <v>3</v>
      </c>
      <c r="F103" s="11" t="str">
        <f t="shared" si="20"/>
        <v>2</v>
      </c>
      <c r="G103" s="10" t="str">
        <f t="shared" si="21"/>
        <v>2</v>
      </c>
      <c r="H103" s="2" t="str">
        <f t="shared" si="22"/>
        <v>5</v>
      </c>
      <c r="I103" s="8" t="str">
        <f t="shared" si="23"/>
        <v>3(2</v>
      </c>
      <c r="J103" s="8" t="str">
        <f t="shared" si="24"/>
        <v>5)</v>
      </c>
      <c r="K103" s="8" t="str">
        <f t="shared" si="25"/>
        <v>2-5)</v>
      </c>
    </row>
    <row r="104" spans="1:11">
      <c r="A104" s="3" t="s">
        <v>273</v>
      </c>
      <c r="B104" s="3" t="s">
        <v>274</v>
      </c>
      <c r="C104" s="3" t="s">
        <v>275</v>
      </c>
      <c r="D104" s="3" t="s">
        <v>18</v>
      </c>
      <c r="E104" s="9" t="str">
        <f t="shared" si="19"/>
        <v>3</v>
      </c>
      <c r="F104" s="11" t="str">
        <f t="shared" si="20"/>
        <v>2</v>
      </c>
      <c r="G104" s="10" t="str">
        <f t="shared" si="21"/>
        <v>2</v>
      </c>
      <c r="H104" s="2" t="str">
        <f t="shared" si="22"/>
        <v>5</v>
      </c>
      <c r="I104" s="8" t="str">
        <f t="shared" si="23"/>
        <v>3(2</v>
      </c>
      <c r="J104" s="8" t="str">
        <f t="shared" si="24"/>
        <v>5)</v>
      </c>
      <c r="K104" s="8" t="str">
        <f t="shared" si="25"/>
        <v>2-5)</v>
      </c>
    </row>
    <row r="105" spans="1:11">
      <c r="A105" s="3" t="s">
        <v>276</v>
      </c>
      <c r="B105" s="3" t="s">
        <v>277</v>
      </c>
      <c r="C105" s="3" t="s">
        <v>278</v>
      </c>
      <c r="D105" s="3" t="s">
        <v>6</v>
      </c>
      <c r="E105" s="9" t="str">
        <f t="shared" si="19"/>
        <v>3</v>
      </c>
      <c r="F105" s="11" t="str">
        <f t="shared" si="20"/>
        <v>3</v>
      </c>
      <c r="G105" s="10" t="str">
        <f t="shared" si="21"/>
        <v>0</v>
      </c>
      <c r="H105" s="2" t="str">
        <f t="shared" si="22"/>
        <v>6</v>
      </c>
      <c r="I105" s="8" t="str">
        <f t="shared" si="23"/>
        <v>3(3</v>
      </c>
      <c r="J105" s="8" t="str">
        <f t="shared" si="24"/>
        <v>6)</v>
      </c>
      <c r="K105" s="8" t="str">
        <f t="shared" si="25"/>
        <v>0-6)</v>
      </c>
    </row>
    <row r="106" spans="1:11">
      <c r="A106" s="3" t="s">
        <v>279</v>
      </c>
      <c r="B106" s="3" t="s">
        <v>280</v>
      </c>
      <c r="C106" s="3" t="s">
        <v>281</v>
      </c>
      <c r="D106" s="3" t="s">
        <v>200</v>
      </c>
      <c r="E106" s="9" t="str">
        <f t="shared" si="19"/>
        <v>2</v>
      </c>
      <c r="F106" s="11" t="str">
        <f t="shared" si="20"/>
        <v>2</v>
      </c>
      <c r="G106" s="10" t="str">
        <f t="shared" si="21"/>
        <v>0</v>
      </c>
      <c r="H106" s="2" t="str">
        <f t="shared" si="22"/>
        <v>4</v>
      </c>
      <c r="I106" s="8" t="str">
        <f t="shared" si="23"/>
        <v>2(2</v>
      </c>
      <c r="J106" s="8" t="str">
        <f t="shared" si="24"/>
        <v>4)</v>
      </c>
      <c r="K106" s="8" t="str">
        <f t="shared" si="25"/>
        <v>0-4)</v>
      </c>
    </row>
    <row r="107" spans="1:11">
      <c r="A107" s="3" t="s">
        <v>282</v>
      </c>
      <c r="B107" s="3" t="s">
        <v>283</v>
      </c>
      <c r="C107" s="3" t="s">
        <v>284</v>
      </c>
      <c r="D107" s="3" t="s">
        <v>18</v>
      </c>
      <c r="E107" s="9" t="str">
        <f t="shared" si="19"/>
        <v>3</v>
      </c>
      <c r="F107" s="11" t="str">
        <f t="shared" si="20"/>
        <v>2</v>
      </c>
      <c r="G107" s="10" t="str">
        <f t="shared" si="21"/>
        <v>2</v>
      </c>
      <c r="H107" s="2" t="str">
        <f t="shared" si="22"/>
        <v>5</v>
      </c>
      <c r="I107" s="8" t="str">
        <f t="shared" si="23"/>
        <v>3(2</v>
      </c>
      <c r="J107" s="8" t="str">
        <f t="shared" si="24"/>
        <v>5)</v>
      </c>
      <c r="K107" s="8" t="str">
        <f t="shared" si="25"/>
        <v>2-5)</v>
      </c>
    </row>
    <row r="108" spans="1:11" ht="43.5">
      <c r="A108" s="3" t="s">
        <v>285</v>
      </c>
      <c r="B108" s="3" t="s">
        <v>286</v>
      </c>
      <c r="C108" s="3" t="s">
        <v>287</v>
      </c>
      <c r="D108" s="3" t="s">
        <v>18</v>
      </c>
      <c r="E108" s="9" t="str">
        <f t="shared" si="19"/>
        <v>3</v>
      </c>
      <c r="F108" s="11" t="str">
        <f t="shared" si="20"/>
        <v>2</v>
      </c>
      <c r="G108" s="10" t="str">
        <f t="shared" si="21"/>
        <v>2</v>
      </c>
      <c r="H108" s="2" t="str">
        <f t="shared" si="22"/>
        <v>5</v>
      </c>
      <c r="I108" s="8" t="str">
        <f t="shared" si="23"/>
        <v>3(2</v>
      </c>
      <c r="J108" s="8" t="str">
        <f t="shared" si="24"/>
        <v>5)</v>
      </c>
      <c r="K108" s="8" t="str">
        <f t="shared" si="25"/>
        <v>2-5)</v>
      </c>
    </row>
    <row r="109" spans="1:11">
      <c r="A109" s="3" t="s">
        <v>288</v>
      </c>
      <c r="B109" s="3" t="s">
        <v>289</v>
      </c>
      <c r="C109" s="3" t="s">
        <v>290</v>
      </c>
      <c r="D109" s="3" t="s">
        <v>6</v>
      </c>
      <c r="E109" s="9" t="str">
        <f t="shared" si="19"/>
        <v>3</v>
      </c>
      <c r="F109" s="11" t="str">
        <f t="shared" si="20"/>
        <v>3</v>
      </c>
      <c r="G109" s="10" t="str">
        <f t="shared" si="21"/>
        <v>0</v>
      </c>
      <c r="H109" s="2" t="str">
        <f t="shared" si="22"/>
        <v>6</v>
      </c>
      <c r="I109" s="8" t="str">
        <f t="shared" si="23"/>
        <v>3(3</v>
      </c>
      <c r="J109" s="8" t="str">
        <f t="shared" si="24"/>
        <v>6)</v>
      </c>
      <c r="K109" s="8" t="str">
        <f t="shared" si="25"/>
        <v>0-6)</v>
      </c>
    </row>
    <row r="110" spans="1:11">
      <c r="A110" s="3" t="s">
        <v>291</v>
      </c>
      <c r="B110" s="3" t="s">
        <v>292</v>
      </c>
      <c r="C110" s="3" t="s">
        <v>293</v>
      </c>
      <c r="D110" s="3" t="s">
        <v>6</v>
      </c>
      <c r="E110" s="9" t="str">
        <f t="shared" si="19"/>
        <v>3</v>
      </c>
      <c r="F110" s="11" t="str">
        <f t="shared" si="20"/>
        <v>3</v>
      </c>
      <c r="G110" s="10" t="str">
        <f t="shared" si="21"/>
        <v>0</v>
      </c>
      <c r="H110" s="2" t="str">
        <f t="shared" si="22"/>
        <v>6</v>
      </c>
      <c r="I110" s="8" t="str">
        <f t="shared" si="23"/>
        <v>3(3</v>
      </c>
      <c r="J110" s="8" t="str">
        <f t="shared" si="24"/>
        <v>6)</v>
      </c>
      <c r="K110" s="8" t="str">
        <f t="shared" si="25"/>
        <v>0-6)</v>
      </c>
    </row>
    <row r="111" spans="1:11">
      <c r="A111" s="3" t="s">
        <v>294</v>
      </c>
      <c r="B111" s="3" t="s">
        <v>295</v>
      </c>
      <c r="C111" s="3" t="s">
        <v>296</v>
      </c>
      <c r="D111" s="3" t="s">
        <v>6</v>
      </c>
      <c r="E111" s="9" t="str">
        <f t="shared" si="19"/>
        <v>3</v>
      </c>
      <c r="F111" s="11" t="str">
        <f t="shared" si="20"/>
        <v>3</v>
      </c>
      <c r="G111" s="10" t="str">
        <f t="shared" si="21"/>
        <v>0</v>
      </c>
      <c r="H111" s="2" t="str">
        <f t="shared" si="22"/>
        <v>6</v>
      </c>
      <c r="I111" s="8" t="str">
        <f t="shared" si="23"/>
        <v>3(3</v>
      </c>
      <c r="J111" s="8" t="str">
        <f t="shared" si="24"/>
        <v>6)</v>
      </c>
      <c r="K111" s="8" t="str">
        <f t="shared" si="25"/>
        <v>0-6)</v>
      </c>
    </row>
    <row r="112" spans="1:11">
      <c r="A112" s="3" t="s">
        <v>297</v>
      </c>
      <c r="B112" s="3" t="s">
        <v>298</v>
      </c>
      <c r="C112" s="3" t="s">
        <v>299</v>
      </c>
      <c r="D112" s="3" t="s">
        <v>300</v>
      </c>
      <c r="I112" s="2"/>
      <c r="J112" s="2"/>
      <c r="K112" s="2"/>
    </row>
    <row r="113" spans="1:11">
      <c r="A113" s="3" t="s">
        <v>301</v>
      </c>
      <c r="B113" s="3" t="s">
        <v>302</v>
      </c>
      <c r="C113" s="3" t="s">
        <v>303</v>
      </c>
      <c r="D113" s="3" t="s">
        <v>6</v>
      </c>
      <c r="E113" s="9" t="str">
        <f t="shared" si="19"/>
        <v>3</v>
      </c>
      <c r="F113" s="11" t="str">
        <f t="shared" si="20"/>
        <v>3</v>
      </c>
      <c r="G113" s="10" t="str">
        <f t="shared" si="21"/>
        <v>0</v>
      </c>
      <c r="H113" s="2" t="str">
        <f t="shared" si="22"/>
        <v>6</v>
      </c>
      <c r="I113" s="8" t="str">
        <f t="shared" si="23"/>
        <v>3(3</v>
      </c>
      <c r="J113" s="8" t="str">
        <f t="shared" si="24"/>
        <v>6)</v>
      </c>
      <c r="K113" s="8" t="str">
        <f t="shared" si="25"/>
        <v>0-6)</v>
      </c>
    </row>
    <row r="114" spans="1:11">
      <c r="A114" s="3" t="s">
        <v>304</v>
      </c>
      <c r="B114" s="3" t="s">
        <v>305</v>
      </c>
      <c r="C114" s="3" t="s">
        <v>306</v>
      </c>
      <c r="D114" s="3" t="s">
        <v>18</v>
      </c>
      <c r="E114" s="9" t="str">
        <f t="shared" si="19"/>
        <v>3</v>
      </c>
      <c r="F114" s="11" t="str">
        <f t="shared" si="20"/>
        <v>2</v>
      </c>
      <c r="G114" s="10" t="str">
        <f t="shared" si="21"/>
        <v>2</v>
      </c>
      <c r="H114" s="2" t="str">
        <f t="shared" si="22"/>
        <v>5</v>
      </c>
      <c r="I114" s="8" t="str">
        <f t="shared" si="23"/>
        <v>3(2</v>
      </c>
      <c r="J114" s="8" t="str">
        <f t="shared" si="24"/>
        <v>5)</v>
      </c>
      <c r="K114" s="8" t="str">
        <f t="shared" si="25"/>
        <v>2-5)</v>
      </c>
    </row>
    <row r="115" spans="1:11">
      <c r="A115" s="3" t="s">
        <v>307</v>
      </c>
      <c r="B115" s="3" t="s">
        <v>308</v>
      </c>
      <c r="C115" s="3" t="s">
        <v>309</v>
      </c>
      <c r="D115" s="3" t="s">
        <v>6</v>
      </c>
      <c r="E115" s="9" t="str">
        <f t="shared" si="19"/>
        <v>3</v>
      </c>
      <c r="F115" s="11" t="str">
        <f t="shared" si="20"/>
        <v>3</v>
      </c>
      <c r="G115" s="10" t="str">
        <f t="shared" si="21"/>
        <v>0</v>
      </c>
      <c r="H115" s="2" t="str">
        <f t="shared" si="22"/>
        <v>6</v>
      </c>
      <c r="I115" s="8" t="str">
        <f t="shared" si="23"/>
        <v>3(3</v>
      </c>
      <c r="J115" s="8" t="str">
        <f t="shared" si="24"/>
        <v>6)</v>
      </c>
      <c r="K115" s="8" t="str">
        <f t="shared" si="25"/>
        <v>0-6)</v>
      </c>
    </row>
    <row r="116" spans="1:11">
      <c r="A116" s="3" t="s">
        <v>310</v>
      </c>
      <c r="B116" s="3" t="s">
        <v>311</v>
      </c>
      <c r="C116" s="3" t="s">
        <v>312</v>
      </c>
      <c r="D116" s="3" t="s">
        <v>18</v>
      </c>
      <c r="E116" s="9" t="str">
        <f t="shared" si="19"/>
        <v>3</v>
      </c>
      <c r="F116" s="11" t="str">
        <f t="shared" si="20"/>
        <v>2</v>
      </c>
      <c r="G116" s="10" t="str">
        <f t="shared" si="21"/>
        <v>2</v>
      </c>
      <c r="H116" s="2" t="str">
        <f t="shared" si="22"/>
        <v>5</v>
      </c>
      <c r="I116" s="8" t="str">
        <f t="shared" si="23"/>
        <v>3(2</v>
      </c>
      <c r="J116" s="8" t="str">
        <f t="shared" si="24"/>
        <v>5)</v>
      </c>
      <c r="K116" s="8" t="str">
        <f t="shared" si="25"/>
        <v>2-5)</v>
      </c>
    </row>
    <row r="117" spans="1:11">
      <c r="A117" s="3" t="s">
        <v>313</v>
      </c>
      <c r="B117" s="3" t="s">
        <v>314</v>
      </c>
      <c r="C117" s="3" t="s">
        <v>315</v>
      </c>
      <c r="D117" s="3" t="s">
        <v>210</v>
      </c>
      <c r="E117" s="9" t="str">
        <f t="shared" si="19"/>
        <v>1</v>
      </c>
      <c r="F117" s="11" t="str">
        <f t="shared" si="20"/>
        <v>0</v>
      </c>
      <c r="G117" s="10" t="str">
        <f t="shared" si="21"/>
        <v>3</v>
      </c>
      <c r="H117" s="2" t="str">
        <f t="shared" si="22"/>
        <v>0</v>
      </c>
      <c r="I117" s="8" t="str">
        <f t="shared" si="23"/>
        <v>1(0</v>
      </c>
      <c r="J117" s="8" t="str">
        <f t="shared" si="24"/>
        <v>0)</v>
      </c>
      <c r="K117" s="8" t="str">
        <f t="shared" si="25"/>
        <v>3-0)</v>
      </c>
    </row>
    <row r="118" spans="1:11">
      <c r="A118" s="3" t="s">
        <v>316</v>
      </c>
      <c r="B118" s="3" t="s">
        <v>317</v>
      </c>
      <c r="C118" s="3" t="s">
        <v>318</v>
      </c>
      <c r="D118" s="3" t="s">
        <v>200</v>
      </c>
      <c r="E118" s="9" t="str">
        <f t="shared" si="19"/>
        <v>2</v>
      </c>
      <c r="F118" s="11" t="str">
        <f t="shared" si="20"/>
        <v>2</v>
      </c>
      <c r="G118" s="10" t="str">
        <f t="shared" si="21"/>
        <v>0</v>
      </c>
      <c r="H118" s="2" t="str">
        <f t="shared" si="22"/>
        <v>4</v>
      </c>
      <c r="I118" s="8" t="str">
        <f t="shared" si="23"/>
        <v>2(2</v>
      </c>
      <c r="J118" s="8" t="str">
        <f t="shared" si="24"/>
        <v>4)</v>
      </c>
      <c r="K118" s="8" t="str">
        <f t="shared" si="25"/>
        <v>0-4)</v>
      </c>
    </row>
    <row r="119" spans="1:11">
      <c r="A119" s="3" t="s">
        <v>583</v>
      </c>
      <c r="B119" s="3" t="s">
        <v>319</v>
      </c>
      <c r="C119" s="3" t="s">
        <v>320</v>
      </c>
      <c r="D119" s="3" t="s">
        <v>200</v>
      </c>
      <c r="E119" s="9" t="str">
        <f t="shared" si="19"/>
        <v>2</v>
      </c>
      <c r="F119" s="11" t="str">
        <f t="shared" si="20"/>
        <v>2</v>
      </c>
      <c r="G119" s="10" t="str">
        <f t="shared" si="21"/>
        <v>0</v>
      </c>
      <c r="H119" s="2" t="str">
        <f t="shared" si="22"/>
        <v>4</v>
      </c>
      <c r="I119" s="8" t="str">
        <f t="shared" si="23"/>
        <v>2(2</v>
      </c>
      <c r="J119" s="8" t="str">
        <f t="shared" si="24"/>
        <v>4)</v>
      </c>
      <c r="K119" s="8" t="str">
        <f t="shared" si="25"/>
        <v>0-4)</v>
      </c>
    </row>
    <row r="120" spans="1:11">
      <c r="A120" s="3" t="s">
        <v>584</v>
      </c>
      <c r="B120" s="3" t="s">
        <v>321</v>
      </c>
      <c r="C120" s="3" t="s">
        <v>322</v>
      </c>
      <c r="D120" s="3" t="s">
        <v>200</v>
      </c>
      <c r="E120" s="9" t="str">
        <f t="shared" si="19"/>
        <v>2</v>
      </c>
      <c r="F120" s="11" t="str">
        <f t="shared" si="20"/>
        <v>2</v>
      </c>
      <c r="G120" s="10" t="str">
        <f t="shared" si="21"/>
        <v>0</v>
      </c>
      <c r="H120" s="2" t="str">
        <f t="shared" si="22"/>
        <v>4</v>
      </c>
      <c r="I120" s="8" t="str">
        <f t="shared" si="23"/>
        <v>2(2</v>
      </c>
      <c r="J120" s="8" t="str">
        <f t="shared" si="24"/>
        <v>4)</v>
      </c>
      <c r="K120" s="8" t="str">
        <f t="shared" si="25"/>
        <v>0-4)</v>
      </c>
    </row>
    <row r="121" spans="1:11">
      <c r="A121" s="3" t="s">
        <v>745</v>
      </c>
      <c r="B121" s="3" t="s">
        <v>323</v>
      </c>
      <c r="C121" s="3" t="s">
        <v>324</v>
      </c>
      <c r="D121" s="3" t="s">
        <v>325</v>
      </c>
      <c r="E121" s="9" t="str">
        <f t="shared" si="19"/>
        <v>2</v>
      </c>
      <c r="F121" s="11" t="str">
        <f t="shared" si="20"/>
        <v>2</v>
      </c>
      <c r="G121" s="10" t="str">
        <f t="shared" si="21"/>
        <v>-</v>
      </c>
      <c r="H121" s="2" t="str">
        <f t="shared" si="22"/>
        <v>)</v>
      </c>
      <c r="I121" s="8" t="str">
        <f t="shared" si="23"/>
        <v>2(2</v>
      </c>
      <c r="J121" s="8" t="str">
        <f t="shared" si="24"/>
        <v xml:space="preserve">) </v>
      </c>
      <c r="K121" s="8" t="str">
        <f t="shared" si="25"/>
        <v xml:space="preserve">-4) </v>
      </c>
    </row>
    <row r="122" spans="1:11">
      <c r="A122" s="3" t="s">
        <v>586</v>
      </c>
      <c r="B122" s="3" t="s">
        <v>326</v>
      </c>
      <c r="C122" s="3" t="s">
        <v>327</v>
      </c>
      <c r="D122" s="3" t="s">
        <v>200</v>
      </c>
      <c r="E122" s="9" t="str">
        <f t="shared" si="19"/>
        <v>2</v>
      </c>
      <c r="F122" s="11" t="str">
        <f t="shared" si="20"/>
        <v>2</v>
      </c>
      <c r="G122" s="10" t="str">
        <f t="shared" si="21"/>
        <v>0</v>
      </c>
      <c r="H122" s="2" t="str">
        <f t="shared" si="22"/>
        <v>4</v>
      </c>
      <c r="I122" s="8" t="str">
        <f t="shared" si="23"/>
        <v>2(2</v>
      </c>
      <c r="J122" s="8" t="str">
        <f t="shared" si="24"/>
        <v>4)</v>
      </c>
      <c r="K122" s="8" t="str">
        <f t="shared" si="25"/>
        <v>0-4)</v>
      </c>
    </row>
    <row r="123" spans="1:11">
      <c r="A123" s="3" t="s">
        <v>328</v>
      </c>
      <c r="B123" s="3" t="s">
        <v>329</v>
      </c>
      <c r="C123" s="3" t="s">
        <v>330</v>
      </c>
      <c r="D123" s="3" t="s">
        <v>331</v>
      </c>
      <c r="I123" s="2"/>
      <c r="J123" s="2"/>
      <c r="K123" s="2"/>
    </row>
    <row r="124" spans="1:11">
      <c r="A124" s="3" t="s">
        <v>332</v>
      </c>
      <c r="B124" s="3" t="s">
        <v>333</v>
      </c>
      <c r="C124" s="3" t="s">
        <v>334</v>
      </c>
      <c r="D124" s="3" t="s">
        <v>6</v>
      </c>
      <c r="E124" s="9" t="str">
        <f t="shared" si="19"/>
        <v>3</v>
      </c>
      <c r="F124" s="11" t="str">
        <f t="shared" si="20"/>
        <v>3</v>
      </c>
      <c r="G124" s="10" t="str">
        <f t="shared" si="21"/>
        <v>0</v>
      </c>
      <c r="H124" s="2" t="str">
        <f t="shared" si="22"/>
        <v>6</v>
      </c>
      <c r="I124" s="8" t="str">
        <f t="shared" si="23"/>
        <v>3(3</v>
      </c>
      <c r="J124" s="8" t="str">
        <f t="shared" si="24"/>
        <v>6)</v>
      </c>
      <c r="K124" s="8" t="str">
        <f t="shared" si="25"/>
        <v>0-6)</v>
      </c>
    </row>
    <row r="125" spans="1:11">
      <c r="A125" s="3" t="s">
        <v>587</v>
      </c>
      <c r="B125" s="3" t="s">
        <v>335</v>
      </c>
      <c r="C125" s="3" t="s">
        <v>336</v>
      </c>
      <c r="D125" s="3" t="s">
        <v>337</v>
      </c>
      <c r="E125" s="9" t="str">
        <f t="shared" si="19"/>
        <v>3</v>
      </c>
      <c r="F125" s="11" t="str">
        <f t="shared" si="20"/>
        <v>0</v>
      </c>
      <c r="G125" s="10" t="str">
        <f t="shared" si="21"/>
        <v>9</v>
      </c>
      <c r="H125" s="2" t="str">
        <f t="shared" si="22"/>
        <v>0</v>
      </c>
      <c r="I125" s="8" t="str">
        <f t="shared" si="23"/>
        <v>3(0</v>
      </c>
      <c r="J125" s="8" t="str">
        <f t="shared" si="24"/>
        <v>0)</v>
      </c>
      <c r="K125" s="8" t="str">
        <f t="shared" si="25"/>
        <v>9-0)</v>
      </c>
    </row>
    <row r="126" spans="1:11">
      <c r="A126" s="3" t="s">
        <v>338</v>
      </c>
      <c r="B126" s="3" t="s">
        <v>339</v>
      </c>
      <c r="C126" s="3" t="s">
        <v>340</v>
      </c>
      <c r="D126" s="3" t="s">
        <v>341</v>
      </c>
      <c r="I126" s="2"/>
      <c r="J126" s="2"/>
      <c r="K126" s="2"/>
    </row>
    <row r="127" spans="1:11" ht="43.5">
      <c r="A127" s="3" t="s">
        <v>342</v>
      </c>
      <c r="B127" s="3" t="s">
        <v>343</v>
      </c>
      <c r="C127" s="3" t="s">
        <v>344</v>
      </c>
      <c r="D127" s="3" t="s">
        <v>345</v>
      </c>
      <c r="E127" s="9" t="str">
        <f t="shared" si="19"/>
        <v>2</v>
      </c>
      <c r="F127" s="11" t="str">
        <f t="shared" si="20"/>
        <v>1</v>
      </c>
      <c r="G127" s="10" t="str">
        <f t="shared" si="21"/>
        <v>3</v>
      </c>
      <c r="H127" s="2" t="str">
        <f t="shared" si="22"/>
        <v>3</v>
      </c>
      <c r="I127" s="8" t="str">
        <f t="shared" si="23"/>
        <v>2(1</v>
      </c>
      <c r="J127" s="8" t="str">
        <f t="shared" si="24"/>
        <v>3)</v>
      </c>
      <c r="K127" s="8" t="str">
        <f t="shared" si="25"/>
        <v>3-3)</v>
      </c>
    </row>
    <row r="128" spans="1:11">
      <c r="A128" s="3" t="s">
        <v>346</v>
      </c>
      <c r="B128" s="3" t="s">
        <v>347</v>
      </c>
      <c r="C128" s="3" t="s">
        <v>218</v>
      </c>
      <c r="D128" s="3" t="s">
        <v>348</v>
      </c>
      <c r="E128" s="9" t="str">
        <f t="shared" si="19"/>
        <v>3</v>
      </c>
      <c r="F128" s="11" t="str">
        <f t="shared" si="20"/>
        <v>2</v>
      </c>
      <c r="G128" s="10" t="str">
        <f t="shared" si="21"/>
        <v>3</v>
      </c>
      <c r="H128" s="2" t="str">
        <f t="shared" si="22"/>
        <v>5</v>
      </c>
      <c r="I128" s="8" t="str">
        <f t="shared" si="23"/>
        <v>3(2</v>
      </c>
      <c r="J128" s="8" t="str">
        <f t="shared" si="24"/>
        <v>5)</v>
      </c>
      <c r="K128" s="8" t="str">
        <f t="shared" si="25"/>
        <v>3-5)</v>
      </c>
    </row>
    <row r="129" spans="1:11">
      <c r="A129" s="3" t="s">
        <v>349</v>
      </c>
      <c r="B129" s="3" t="s">
        <v>350</v>
      </c>
      <c r="C129" s="3" t="s">
        <v>351</v>
      </c>
      <c r="D129" s="3" t="s">
        <v>200</v>
      </c>
      <c r="E129" s="9" t="str">
        <f t="shared" si="19"/>
        <v>2</v>
      </c>
      <c r="F129" s="11" t="str">
        <f t="shared" si="20"/>
        <v>2</v>
      </c>
      <c r="G129" s="10" t="str">
        <f t="shared" si="21"/>
        <v>0</v>
      </c>
      <c r="H129" s="2" t="str">
        <f t="shared" si="22"/>
        <v>4</v>
      </c>
      <c r="I129" s="8" t="str">
        <f t="shared" si="23"/>
        <v>2(2</v>
      </c>
      <c r="J129" s="8" t="str">
        <f t="shared" si="24"/>
        <v>4)</v>
      </c>
      <c r="K129" s="8" t="str">
        <f t="shared" si="25"/>
        <v>0-4)</v>
      </c>
    </row>
    <row r="130" spans="1:11">
      <c r="A130" s="3" t="s">
        <v>352</v>
      </c>
      <c r="B130" s="3" t="s">
        <v>353</v>
      </c>
      <c r="C130" s="3" t="s">
        <v>354</v>
      </c>
      <c r="D130" s="3" t="s">
        <v>345</v>
      </c>
      <c r="E130" s="9" t="str">
        <f t="shared" si="19"/>
        <v>2</v>
      </c>
      <c r="F130" s="11" t="str">
        <f t="shared" si="20"/>
        <v>1</v>
      </c>
      <c r="G130" s="10" t="str">
        <f t="shared" si="21"/>
        <v>3</v>
      </c>
      <c r="H130" s="2" t="str">
        <f t="shared" si="22"/>
        <v>3</v>
      </c>
      <c r="I130" s="8" t="str">
        <f t="shared" si="23"/>
        <v>2(1</v>
      </c>
      <c r="J130" s="8" t="str">
        <f t="shared" si="24"/>
        <v>3)</v>
      </c>
      <c r="K130" s="8" t="str">
        <f t="shared" si="25"/>
        <v>3-3)</v>
      </c>
    </row>
    <row r="131" spans="1:11" ht="43.5">
      <c r="A131" s="3" t="s">
        <v>355</v>
      </c>
      <c r="B131" s="3" t="s">
        <v>356</v>
      </c>
      <c r="C131" s="3" t="s">
        <v>357</v>
      </c>
      <c r="D131" s="3" t="s">
        <v>345</v>
      </c>
      <c r="E131" s="9" t="str">
        <f t="shared" si="19"/>
        <v>2</v>
      </c>
      <c r="F131" s="11" t="str">
        <f t="shared" si="20"/>
        <v>1</v>
      </c>
      <c r="G131" s="10" t="str">
        <f t="shared" si="21"/>
        <v>3</v>
      </c>
      <c r="H131" s="2" t="str">
        <f t="shared" si="22"/>
        <v>3</v>
      </c>
      <c r="I131" s="8" t="str">
        <f t="shared" si="23"/>
        <v>2(1</v>
      </c>
      <c r="J131" s="8" t="str">
        <f t="shared" si="24"/>
        <v>3)</v>
      </c>
      <c r="K131" s="8" t="str">
        <f t="shared" si="25"/>
        <v>3-3)</v>
      </c>
    </row>
    <row r="132" spans="1:11">
      <c r="A132" s="3" t="s">
        <v>358</v>
      </c>
      <c r="B132" s="3" t="s">
        <v>359</v>
      </c>
      <c r="C132" s="3" t="s">
        <v>360</v>
      </c>
      <c r="D132" s="3" t="s">
        <v>345</v>
      </c>
      <c r="E132" s="9" t="str">
        <f t="shared" ref="E132:E195" si="26">LEFT(D132,1)</f>
        <v>2</v>
      </c>
      <c r="F132" s="11" t="str">
        <f t="shared" si="20"/>
        <v>1</v>
      </c>
      <c r="G132" s="10" t="str">
        <f t="shared" si="21"/>
        <v>3</v>
      </c>
      <c r="H132" s="2" t="str">
        <f t="shared" si="22"/>
        <v>3</v>
      </c>
      <c r="I132" s="8" t="str">
        <f t="shared" si="23"/>
        <v>2(1</v>
      </c>
      <c r="J132" s="8" t="str">
        <f t="shared" si="24"/>
        <v>3)</v>
      </c>
      <c r="K132" s="8" t="str">
        <f t="shared" si="25"/>
        <v>3-3)</v>
      </c>
    </row>
    <row r="133" spans="1:11">
      <c r="A133" s="3" t="s">
        <v>361</v>
      </c>
      <c r="B133" s="3" t="s">
        <v>362</v>
      </c>
      <c r="C133" s="3" t="s">
        <v>363</v>
      </c>
      <c r="D133" s="3" t="s">
        <v>345</v>
      </c>
      <c r="E133" s="9" t="str">
        <f t="shared" si="26"/>
        <v>2</v>
      </c>
      <c r="F133" s="11" t="str">
        <f t="shared" si="20"/>
        <v>1</v>
      </c>
      <c r="G133" s="10" t="str">
        <f t="shared" si="21"/>
        <v>3</v>
      </c>
      <c r="H133" s="2" t="str">
        <f t="shared" si="22"/>
        <v>3</v>
      </c>
      <c r="I133" s="8" t="str">
        <f t="shared" si="23"/>
        <v>2(1</v>
      </c>
      <c r="J133" s="8" t="str">
        <f t="shared" si="24"/>
        <v>3)</v>
      </c>
      <c r="K133" s="8" t="str">
        <f t="shared" si="25"/>
        <v>3-3)</v>
      </c>
    </row>
    <row r="134" spans="1:11">
      <c r="A134" s="3" t="s">
        <v>364</v>
      </c>
      <c r="B134" s="3" t="s">
        <v>365</v>
      </c>
      <c r="C134" s="3" t="s">
        <v>366</v>
      </c>
      <c r="D134" s="3" t="s">
        <v>345</v>
      </c>
      <c r="E134" s="9" t="str">
        <f t="shared" si="26"/>
        <v>2</v>
      </c>
      <c r="F134" s="11" t="str">
        <f t="shared" si="20"/>
        <v>1</v>
      </c>
      <c r="G134" s="10" t="str">
        <f t="shared" si="21"/>
        <v>3</v>
      </c>
      <c r="H134" s="2" t="str">
        <f t="shared" si="22"/>
        <v>3</v>
      </c>
      <c r="I134" s="8" t="str">
        <f t="shared" si="23"/>
        <v>2(1</v>
      </c>
      <c r="J134" s="8" t="str">
        <f t="shared" si="24"/>
        <v>3)</v>
      </c>
      <c r="K134" s="8" t="str">
        <f t="shared" si="25"/>
        <v>3-3)</v>
      </c>
    </row>
    <row r="135" spans="1:11">
      <c r="A135" s="3" t="s">
        <v>367</v>
      </c>
      <c r="B135" s="3" t="s">
        <v>368</v>
      </c>
      <c r="C135" s="3" t="s">
        <v>369</v>
      </c>
      <c r="D135" s="3" t="s">
        <v>345</v>
      </c>
      <c r="E135" s="9" t="str">
        <f t="shared" si="26"/>
        <v>2</v>
      </c>
      <c r="F135" s="11" t="str">
        <f t="shared" si="20"/>
        <v>1</v>
      </c>
      <c r="G135" s="10" t="str">
        <f t="shared" si="21"/>
        <v>3</v>
      </c>
      <c r="H135" s="2" t="str">
        <f t="shared" si="22"/>
        <v>3</v>
      </c>
      <c r="I135" s="8" t="str">
        <f t="shared" si="23"/>
        <v>2(1</v>
      </c>
      <c r="J135" s="8" t="str">
        <f t="shared" si="24"/>
        <v>3)</v>
      </c>
      <c r="K135" s="8" t="str">
        <f t="shared" si="25"/>
        <v>3-3)</v>
      </c>
    </row>
    <row r="136" spans="1:11" ht="43.5">
      <c r="A136" s="3" t="s">
        <v>370</v>
      </c>
      <c r="B136" s="3" t="s">
        <v>371</v>
      </c>
      <c r="C136" s="3" t="s">
        <v>372</v>
      </c>
      <c r="D136" s="3" t="s">
        <v>348</v>
      </c>
      <c r="E136" s="9" t="str">
        <f t="shared" si="26"/>
        <v>3</v>
      </c>
      <c r="F136" s="11" t="str">
        <f t="shared" si="20"/>
        <v>2</v>
      </c>
      <c r="G136" s="10" t="str">
        <f t="shared" si="21"/>
        <v>3</v>
      </c>
      <c r="H136" s="2" t="str">
        <f t="shared" si="22"/>
        <v>5</v>
      </c>
      <c r="I136" s="8" t="str">
        <f t="shared" si="23"/>
        <v>3(2</v>
      </c>
      <c r="J136" s="8" t="str">
        <f t="shared" si="24"/>
        <v>5)</v>
      </c>
      <c r="K136" s="8" t="str">
        <f t="shared" si="25"/>
        <v>3-5)</v>
      </c>
    </row>
    <row r="137" spans="1:11">
      <c r="A137" s="3" t="s">
        <v>704</v>
      </c>
      <c r="B137" s="3" t="s">
        <v>373</v>
      </c>
      <c r="C137" s="3" t="s">
        <v>374</v>
      </c>
      <c r="D137" s="3" t="s">
        <v>345</v>
      </c>
      <c r="E137" s="9" t="str">
        <f t="shared" si="26"/>
        <v>2</v>
      </c>
      <c r="F137" s="11" t="str">
        <f t="shared" si="20"/>
        <v>1</v>
      </c>
      <c r="G137" s="10" t="str">
        <f t="shared" si="21"/>
        <v>3</v>
      </c>
      <c r="H137" s="2" t="str">
        <f t="shared" si="22"/>
        <v>3</v>
      </c>
      <c r="I137" s="8" t="str">
        <f t="shared" si="23"/>
        <v>2(1</v>
      </c>
      <c r="J137" s="8" t="str">
        <f t="shared" si="24"/>
        <v>3)</v>
      </c>
      <c r="K137" s="8" t="str">
        <f t="shared" si="25"/>
        <v>3-3)</v>
      </c>
    </row>
    <row r="138" spans="1:11">
      <c r="A138" s="3" t="s">
        <v>705</v>
      </c>
      <c r="B138" s="3" t="s">
        <v>375</v>
      </c>
      <c r="C138" s="3" t="s">
        <v>376</v>
      </c>
      <c r="D138" s="3" t="s">
        <v>345</v>
      </c>
      <c r="E138" s="9" t="str">
        <f t="shared" si="26"/>
        <v>2</v>
      </c>
      <c r="F138" s="11" t="str">
        <f t="shared" si="20"/>
        <v>1</v>
      </c>
      <c r="G138" s="10" t="str">
        <f t="shared" si="21"/>
        <v>3</v>
      </c>
      <c r="H138" s="2" t="str">
        <f t="shared" si="22"/>
        <v>3</v>
      </c>
      <c r="I138" s="8" t="str">
        <f t="shared" si="23"/>
        <v>2(1</v>
      </c>
      <c r="J138" s="8" t="str">
        <f t="shared" si="24"/>
        <v>3)</v>
      </c>
      <c r="K138" s="8" t="str">
        <f t="shared" si="25"/>
        <v>3-3)</v>
      </c>
    </row>
    <row r="139" spans="1:11" ht="43.5">
      <c r="A139" s="3" t="s">
        <v>706</v>
      </c>
      <c r="B139" s="3" t="s">
        <v>377</v>
      </c>
      <c r="C139" s="3" t="s">
        <v>378</v>
      </c>
      <c r="D139" s="3" t="s">
        <v>345</v>
      </c>
      <c r="E139" s="9" t="str">
        <f t="shared" si="26"/>
        <v>2</v>
      </c>
      <c r="F139" s="11" t="str">
        <f t="shared" si="20"/>
        <v>1</v>
      </c>
      <c r="G139" s="10" t="str">
        <f t="shared" si="21"/>
        <v>3</v>
      </c>
      <c r="H139" s="2" t="str">
        <f t="shared" si="22"/>
        <v>3</v>
      </c>
      <c r="I139" s="8" t="str">
        <f t="shared" si="23"/>
        <v>2(1</v>
      </c>
      <c r="J139" s="8" t="str">
        <f t="shared" si="24"/>
        <v>3)</v>
      </c>
      <c r="K139" s="8" t="str">
        <f t="shared" si="25"/>
        <v>3-3)</v>
      </c>
    </row>
    <row r="140" spans="1:11" ht="43.5">
      <c r="A140" s="3" t="s">
        <v>707</v>
      </c>
      <c r="B140" s="3" t="s">
        <v>379</v>
      </c>
      <c r="C140" s="3" t="s">
        <v>380</v>
      </c>
      <c r="D140" s="3" t="s">
        <v>345</v>
      </c>
      <c r="E140" s="9" t="str">
        <f t="shared" si="26"/>
        <v>2</v>
      </c>
      <c r="F140" s="11" t="str">
        <f t="shared" si="20"/>
        <v>1</v>
      </c>
      <c r="G140" s="10" t="str">
        <f t="shared" si="21"/>
        <v>3</v>
      </c>
      <c r="H140" s="2" t="str">
        <f t="shared" si="22"/>
        <v>3</v>
      </c>
      <c r="I140" s="8" t="str">
        <f t="shared" si="23"/>
        <v>2(1</v>
      </c>
      <c r="J140" s="8" t="str">
        <f t="shared" si="24"/>
        <v>3)</v>
      </c>
      <c r="K140" s="8" t="str">
        <f t="shared" si="25"/>
        <v>3-3)</v>
      </c>
    </row>
    <row r="141" spans="1:11">
      <c r="A141" s="3" t="s">
        <v>381</v>
      </c>
      <c r="B141" s="3" t="s">
        <v>382</v>
      </c>
      <c r="C141" s="3" t="s">
        <v>322</v>
      </c>
      <c r="D141" s="3" t="s">
        <v>345</v>
      </c>
      <c r="E141" s="9" t="str">
        <f t="shared" si="26"/>
        <v>2</v>
      </c>
      <c r="F141" s="11" t="str">
        <f t="shared" si="20"/>
        <v>1</v>
      </c>
      <c r="G141" s="10" t="str">
        <f t="shared" si="21"/>
        <v>3</v>
      </c>
      <c r="H141" s="2" t="str">
        <f t="shared" si="22"/>
        <v>3</v>
      </c>
      <c r="I141" s="8" t="str">
        <f t="shared" si="23"/>
        <v>2(1</v>
      </c>
      <c r="J141" s="8" t="str">
        <f t="shared" si="24"/>
        <v>3)</v>
      </c>
      <c r="K141" s="8" t="str">
        <f t="shared" si="25"/>
        <v>3-3)</v>
      </c>
    </row>
    <row r="142" spans="1:11">
      <c r="A142" s="3" t="s">
        <v>383</v>
      </c>
      <c r="B142" s="3" t="s">
        <v>384</v>
      </c>
      <c r="C142" s="3" t="s">
        <v>385</v>
      </c>
      <c r="D142" s="3" t="s">
        <v>345</v>
      </c>
      <c r="E142" s="9" t="str">
        <f t="shared" si="26"/>
        <v>2</v>
      </c>
      <c r="F142" s="11" t="str">
        <f t="shared" si="20"/>
        <v>1</v>
      </c>
      <c r="G142" s="10" t="str">
        <f t="shared" si="21"/>
        <v>3</v>
      </c>
      <c r="H142" s="2" t="str">
        <f t="shared" si="22"/>
        <v>3</v>
      </c>
      <c r="I142" s="8" t="str">
        <f t="shared" si="23"/>
        <v>2(1</v>
      </c>
      <c r="J142" s="8" t="str">
        <f t="shared" si="24"/>
        <v>3)</v>
      </c>
      <c r="K142" s="8" t="str">
        <f t="shared" si="25"/>
        <v>3-3)</v>
      </c>
    </row>
    <row r="143" spans="1:11">
      <c r="A143" s="3" t="s">
        <v>386</v>
      </c>
      <c r="B143" s="3" t="s">
        <v>387</v>
      </c>
      <c r="C143" s="3" t="s">
        <v>388</v>
      </c>
      <c r="D143" s="3" t="s">
        <v>345</v>
      </c>
      <c r="E143" s="9" t="str">
        <f t="shared" si="26"/>
        <v>2</v>
      </c>
      <c r="F143" s="11" t="str">
        <f t="shared" si="20"/>
        <v>1</v>
      </c>
      <c r="G143" s="10" t="str">
        <f t="shared" si="21"/>
        <v>3</v>
      </c>
      <c r="H143" s="2" t="str">
        <f t="shared" si="22"/>
        <v>3</v>
      </c>
      <c r="I143" s="8" t="str">
        <f t="shared" si="23"/>
        <v>2(1</v>
      </c>
      <c r="J143" s="8" t="str">
        <f t="shared" si="24"/>
        <v>3)</v>
      </c>
      <c r="K143" s="8" t="str">
        <f t="shared" si="25"/>
        <v>3-3)</v>
      </c>
    </row>
    <row r="144" spans="1:11">
      <c r="A144" s="3" t="s">
        <v>389</v>
      </c>
      <c r="B144" s="3" t="s">
        <v>390</v>
      </c>
      <c r="C144" s="3" t="s">
        <v>391</v>
      </c>
      <c r="D144" s="3" t="s">
        <v>345</v>
      </c>
      <c r="E144" s="9" t="b">
        <f>E145=LEFT(D144,1)</f>
        <v>1</v>
      </c>
      <c r="F144" s="11" t="str">
        <f t="shared" si="20"/>
        <v>1</v>
      </c>
      <c r="G144" s="10" t="str">
        <f t="shared" si="21"/>
        <v>3</v>
      </c>
      <c r="H144" s="2" t="str">
        <f t="shared" si="22"/>
        <v>3</v>
      </c>
      <c r="I144" s="8" t="str">
        <f t="shared" si="23"/>
        <v>2(1</v>
      </c>
      <c r="J144" s="8" t="str">
        <f t="shared" si="24"/>
        <v>3)</v>
      </c>
      <c r="K144" s="8" t="str">
        <f t="shared" si="25"/>
        <v>3-3)</v>
      </c>
    </row>
    <row r="145" spans="1:11">
      <c r="A145" s="3" t="s">
        <v>392</v>
      </c>
      <c r="B145" s="3" t="s">
        <v>393</v>
      </c>
      <c r="C145" s="3" t="s">
        <v>394</v>
      </c>
      <c r="D145" s="3" t="s">
        <v>200</v>
      </c>
      <c r="E145" s="9" t="str">
        <f t="shared" si="26"/>
        <v>2</v>
      </c>
      <c r="F145" s="11" t="str">
        <f t="shared" si="20"/>
        <v>2</v>
      </c>
      <c r="G145" s="10" t="str">
        <f t="shared" si="21"/>
        <v>0</v>
      </c>
      <c r="H145" s="2" t="str">
        <f t="shared" si="22"/>
        <v>4</v>
      </c>
      <c r="I145" s="8" t="str">
        <f t="shared" si="23"/>
        <v>2(2</v>
      </c>
      <c r="J145" s="8" t="str">
        <f t="shared" si="24"/>
        <v>4)</v>
      </c>
      <c r="K145" s="8" t="str">
        <f t="shared" si="25"/>
        <v>0-4)</v>
      </c>
    </row>
    <row r="146" spans="1:11">
      <c r="A146" s="3" t="s">
        <v>395</v>
      </c>
      <c r="B146" s="3" t="s">
        <v>396</v>
      </c>
      <c r="C146" s="3" t="s">
        <v>397</v>
      </c>
      <c r="D146" s="3" t="s">
        <v>200</v>
      </c>
      <c r="E146" s="9" t="str">
        <f t="shared" si="26"/>
        <v>2</v>
      </c>
      <c r="F146" s="11" t="str">
        <f t="shared" si="20"/>
        <v>2</v>
      </c>
      <c r="G146" s="10" t="str">
        <f t="shared" si="21"/>
        <v>0</v>
      </c>
      <c r="H146" s="2" t="str">
        <f t="shared" si="22"/>
        <v>4</v>
      </c>
      <c r="I146" s="8" t="str">
        <f t="shared" si="23"/>
        <v>2(2</v>
      </c>
      <c r="J146" s="8" t="str">
        <f t="shared" si="24"/>
        <v>4)</v>
      </c>
      <c r="K146" s="8" t="str">
        <f t="shared" si="25"/>
        <v>0-4)</v>
      </c>
    </row>
    <row r="147" spans="1:11">
      <c r="A147" s="3" t="s">
        <v>398</v>
      </c>
      <c r="B147" s="3" t="s">
        <v>252</v>
      </c>
      <c r="C147" s="3" t="s">
        <v>253</v>
      </c>
      <c r="D147" s="3" t="s">
        <v>6</v>
      </c>
      <c r="E147" s="9" t="str">
        <f t="shared" si="26"/>
        <v>3</v>
      </c>
      <c r="F147" s="11" t="str">
        <f t="shared" si="20"/>
        <v>3</v>
      </c>
      <c r="G147" s="10" t="str">
        <f t="shared" si="21"/>
        <v>0</v>
      </c>
      <c r="H147" s="2" t="str">
        <f t="shared" si="22"/>
        <v>6</v>
      </c>
      <c r="I147" s="8" t="str">
        <f t="shared" si="23"/>
        <v>3(3</v>
      </c>
      <c r="J147" s="8" t="str">
        <f t="shared" si="24"/>
        <v>6)</v>
      </c>
      <c r="K147" s="8" t="str">
        <f t="shared" si="25"/>
        <v>0-6)</v>
      </c>
    </row>
    <row r="148" spans="1:11" ht="43.5">
      <c r="A148" s="3" t="s">
        <v>399</v>
      </c>
      <c r="B148" s="3" t="s">
        <v>400</v>
      </c>
      <c r="C148" s="3" t="s">
        <v>401</v>
      </c>
      <c r="D148" s="3" t="s">
        <v>18</v>
      </c>
      <c r="E148" s="9" t="str">
        <f t="shared" si="26"/>
        <v>3</v>
      </c>
      <c r="F148" s="11" t="str">
        <f t="shared" si="20"/>
        <v>2</v>
      </c>
      <c r="G148" s="10" t="str">
        <f t="shared" si="21"/>
        <v>2</v>
      </c>
      <c r="H148" s="2" t="str">
        <f t="shared" si="22"/>
        <v>5</v>
      </c>
      <c r="I148" s="8" t="str">
        <f t="shared" si="23"/>
        <v>3(2</v>
      </c>
      <c r="J148" s="8" t="str">
        <f t="shared" si="24"/>
        <v>5)</v>
      </c>
      <c r="K148" s="8" t="str">
        <f t="shared" si="25"/>
        <v>2-5)</v>
      </c>
    </row>
    <row r="149" spans="1:11">
      <c r="A149" s="3" t="s">
        <v>402</v>
      </c>
      <c r="B149" s="3" t="s">
        <v>403</v>
      </c>
      <c r="C149" s="3" t="s">
        <v>255</v>
      </c>
      <c r="D149" s="3" t="s">
        <v>6</v>
      </c>
      <c r="E149" s="9" t="str">
        <f t="shared" si="26"/>
        <v>3</v>
      </c>
      <c r="F149" s="11" t="str">
        <f t="shared" si="20"/>
        <v>3</v>
      </c>
      <c r="G149" s="10" t="str">
        <f t="shared" si="21"/>
        <v>0</v>
      </c>
      <c r="H149" s="2" t="str">
        <f t="shared" si="22"/>
        <v>6</v>
      </c>
      <c r="I149" s="8" t="str">
        <f t="shared" si="23"/>
        <v>3(3</v>
      </c>
      <c r="J149" s="8" t="str">
        <f t="shared" si="24"/>
        <v>6)</v>
      </c>
      <c r="K149" s="8" t="str">
        <f t="shared" si="25"/>
        <v>0-6)</v>
      </c>
    </row>
    <row r="150" spans="1:11">
      <c r="A150" s="3" t="s">
        <v>404</v>
      </c>
      <c r="B150" s="3" t="s">
        <v>405</v>
      </c>
      <c r="C150" s="3" t="s">
        <v>406</v>
      </c>
      <c r="D150" s="3" t="s">
        <v>169</v>
      </c>
      <c r="E150" s="9" t="str">
        <f t="shared" si="26"/>
        <v>2</v>
      </c>
      <c r="F150" s="11" t="str">
        <f t="shared" si="20"/>
        <v>1</v>
      </c>
      <c r="G150" s="10" t="str">
        <f t="shared" si="21"/>
        <v>2</v>
      </c>
      <c r="H150" s="2" t="str">
        <f t="shared" si="22"/>
        <v>3</v>
      </c>
      <c r="I150" s="8" t="str">
        <f t="shared" si="23"/>
        <v>2(1</v>
      </c>
      <c r="J150" s="8" t="str">
        <f t="shared" si="24"/>
        <v>3)</v>
      </c>
      <c r="K150" s="8" t="str">
        <f t="shared" si="25"/>
        <v>2-3)</v>
      </c>
    </row>
    <row r="151" spans="1:11">
      <c r="A151" s="3" t="s">
        <v>407</v>
      </c>
      <c r="B151" s="3" t="s">
        <v>408</v>
      </c>
      <c r="C151" s="3" t="s">
        <v>409</v>
      </c>
      <c r="D151" s="3" t="s">
        <v>410</v>
      </c>
      <c r="E151" s="9" t="str">
        <f t="shared" si="26"/>
        <v>3</v>
      </c>
      <c r="F151" s="11" t="str">
        <f t="shared" si="20"/>
        <v>2</v>
      </c>
      <c r="G151" s="10" t="str">
        <f t="shared" si="21"/>
        <v>5</v>
      </c>
      <c r="H151" s="2" t="str">
        <f t="shared" si="22"/>
        <v xml:space="preserve"> </v>
      </c>
      <c r="I151" s="8" t="str">
        <f t="shared" si="23"/>
        <v>3(2</v>
      </c>
      <c r="J151" s="8" t="str">
        <f t="shared" si="24"/>
        <v xml:space="preserve">  </v>
      </c>
      <c r="K151" s="8" t="str">
        <f t="shared" si="25"/>
        <v xml:space="preserve">5)  </v>
      </c>
    </row>
    <row r="152" spans="1:11">
      <c r="A152" s="3" t="s">
        <v>411</v>
      </c>
      <c r="B152" s="3" t="s">
        <v>412</v>
      </c>
      <c r="C152" s="3" t="s">
        <v>269</v>
      </c>
      <c r="D152" s="3" t="s">
        <v>6</v>
      </c>
      <c r="E152" s="9" t="str">
        <f t="shared" si="26"/>
        <v>3</v>
      </c>
      <c r="F152" s="11" t="str">
        <f t="shared" si="20"/>
        <v>3</v>
      </c>
      <c r="G152" s="10" t="str">
        <f t="shared" si="21"/>
        <v>0</v>
      </c>
      <c r="H152" s="2" t="str">
        <f t="shared" si="22"/>
        <v>6</v>
      </c>
      <c r="I152" s="8" t="str">
        <f t="shared" si="23"/>
        <v>3(3</v>
      </c>
      <c r="J152" s="8" t="str">
        <f t="shared" si="24"/>
        <v>6)</v>
      </c>
      <c r="K152" s="8" t="str">
        <f t="shared" si="25"/>
        <v>0-6)</v>
      </c>
    </row>
    <row r="153" spans="1:11">
      <c r="A153" s="3" t="s">
        <v>413</v>
      </c>
      <c r="B153" s="3" t="s">
        <v>414</v>
      </c>
      <c r="C153" s="3" t="s">
        <v>415</v>
      </c>
      <c r="D153" s="3" t="s">
        <v>6</v>
      </c>
      <c r="E153" s="9" t="str">
        <f t="shared" si="26"/>
        <v>3</v>
      </c>
      <c r="F153" s="11" t="str">
        <f t="shared" si="20"/>
        <v>3</v>
      </c>
      <c r="G153" s="10" t="str">
        <f t="shared" si="21"/>
        <v>0</v>
      </c>
      <c r="H153" s="2" t="str">
        <f t="shared" si="22"/>
        <v>6</v>
      </c>
      <c r="I153" s="8" t="str">
        <f t="shared" si="23"/>
        <v>3(3</v>
      </c>
      <c r="J153" s="8" t="str">
        <f t="shared" si="24"/>
        <v>6)</v>
      </c>
      <c r="K153" s="8" t="str">
        <f t="shared" si="25"/>
        <v>0-6)</v>
      </c>
    </row>
    <row r="154" spans="1:11" ht="43.5">
      <c r="A154" s="3" t="s">
        <v>416</v>
      </c>
      <c r="B154" s="3" t="s">
        <v>417</v>
      </c>
      <c r="C154" s="3" t="s">
        <v>418</v>
      </c>
      <c r="D154" s="3" t="s">
        <v>18</v>
      </c>
      <c r="E154" s="9" t="str">
        <f t="shared" si="26"/>
        <v>3</v>
      </c>
      <c r="F154" s="11" t="str">
        <f t="shared" si="20"/>
        <v>2</v>
      </c>
      <c r="G154" s="10" t="str">
        <f t="shared" si="21"/>
        <v>2</v>
      </c>
      <c r="H154" s="2" t="str">
        <f t="shared" si="22"/>
        <v>5</v>
      </c>
      <c r="I154" s="8" t="str">
        <f t="shared" si="23"/>
        <v>3(2</v>
      </c>
      <c r="J154" s="8" t="str">
        <f t="shared" si="24"/>
        <v>5)</v>
      </c>
      <c r="K154" s="8" t="str">
        <f t="shared" si="25"/>
        <v>2-5)</v>
      </c>
    </row>
    <row r="155" spans="1:11">
      <c r="A155" s="3" t="s">
        <v>262</v>
      </c>
      <c r="B155" s="3" t="s">
        <v>419</v>
      </c>
      <c r="C155" s="3" t="s">
        <v>264</v>
      </c>
      <c r="D155" s="3" t="s">
        <v>6</v>
      </c>
      <c r="E155" s="9" t="str">
        <f t="shared" si="26"/>
        <v>3</v>
      </c>
      <c r="F155" s="11" t="str">
        <f t="shared" si="20"/>
        <v>3</v>
      </c>
      <c r="G155" s="10" t="str">
        <f t="shared" si="21"/>
        <v>0</v>
      </c>
      <c r="H155" s="2" t="str">
        <f t="shared" si="22"/>
        <v>6</v>
      </c>
      <c r="I155" s="8" t="str">
        <f t="shared" si="23"/>
        <v>3(3</v>
      </c>
      <c r="J155" s="8" t="str">
        <f t="shared" si="24"/>
        <v>6)</v>
      </c>
      <c r="K155" s="8" t="str">
        <f t="shared" si="25"/>
        <v>0-6)</v>
      </c>
    </row>
    <row r="156" spans="1:11">
      <c r="A156" s="3" t="s">
        <v>420</v>
      </c>
      <c r="B156" s="3" t="s">
        <v>421</v>
      </c>
      <c r="C156" s="3" t="s">
        <v>422</v>
      </c>
      <c r="D156" s="3" t="s">
        <v>200</v>
      </c>
      <c r="E156" s="9" t="str">
        <f t="shared" si="26"/>
        <v>2</v>
      </c>
      <c r="F156" s="11" t="str">
        <f t="shared" si="20"/>
        <v>2</v>
      </c>
      <c r="G156" s="10" t="str">
        <f t="shared" si="21"/>
        <v>0</v>
      </c>
      <c r="H156" s="2" t="str">
        <f t="shared" si="22"/>
        <v>4</v>
      </c>
      <c r="I156" s="8" t="str">
        <f t="shared" si="23"/>
        <v>2(2</v>
      </c>
      <c r="J156" s="8" t="str">
        <f t="shared" si="24"/>
        <v>4)</v>
      </c>
      <c r="K156" s="8" t="str">
        <f t="shared" si="25"/>
        <v>0-4)</v>
      </c>
    </row>
    <row r="157" spans="1:11">
      <c r="A157" s="3" t="s">
        <v>423</v>
      </c>
      <c r="B157" s="3" t="s">
        <v>424</v>
      </c>
      <c r="C157" s="3" t="s">
        <v>425</v>
      </c>
      <c r="D157" s="3" t="s">
        <v>18</v>
      </c>
      <c r="E157" s="9" t="str">
        <f t="shared" si="26"/>
        <v>3</v>
      </c>
      <c r="F157" s="11" t="str">
        <f t="shared" si="20"/>
        <v>2</v>
      </c>
      <c r="G157" s="10" t="str">
        <f t="shared" si="21"/>
        <v>2</v>
      </c>
      <c r="H157" s="2" t="str">
        <f t="shared" si="22"/>
        <v>5</v>
      </c>
      <c r="I157" s="8" t="str">
        <f t="shared" si="23"/>
        <v>3(2</v>
      </c>
      <c r="J157" s="8" t="str">
        <f t="shared" si="24"/>
        <v>5)</v>
      </c>
      <c r="K157" s="8" t="str">
        <f t="shared" si="25"/>
        <v>2-5)</v>
      </c>
    </row>
    <row r="158" spans="1:11">
      <c r="A158" s="3" t="s">
        <v>426</v>
      </c>
      <c r="B158" s="3" t="s">
        <v>427</v>
      </c>
      <c r="C158" s="3" t="s">
        <v>428</v>
      </c>
      <c r="D158" s="3" t="s">
        <v>18</v>
      </c>
      <c r="E158" s="9" t="str">
        <f t="shared" si="26"/>
        <v>3</v>
      </c>
      <c r="F158" s="11" t="str">
        <f t="shared" si="20"/>
        <v>2</v>
      </c>
      <c r="G158" s="10" t="str">
        <f t="shared" si="21"/>
        <v>2</v>
      </c>
      <c r="H158" s="2" t="str">
        <f t="shared" si="22"/>
        <v>5</v>
      </c>
      <c r="I158" s="8" t="str">
        <f t="shared" si="23"/>
        <v>3(2</v>
      </c>
      <c r="J158" s="8" t="str">
        <f t="shared" si="24"/>
        <v>5)</v>
      </c>
      <c r="K158" s="8" t="str">
        <f t="shared" si="25"/>
        <v>2-5)</v>
      </c>
    </row>
    <row r="159" spans="1:11">
      <c r="A159" s="3" t="s">
        <v>429</v>
      </c>
      <c r="B159" s="3" t="s">
        <v>430</v>
      </c>
      <c r="C159" s="3" t="s">
        <v>431</v>
      </c>
      <c r="D159" s="3" t="s">
        <v>18</v>
      </c>
      <c r="E159" s="9" t="str">
        <f t="shared" si="26"/>
        <v>3</v>
      </c>
      <c r="F159" s="11" t="str">
        <f t="shared" ref="F159:F222" si="27">RIGHT(I159,1)</f>
        <v>2</v>
      </c>
      <c r="G159" s="10" t="str">
        <f t="shared" ref="G159:G222" si="28">LEFT(K159,1)</f>
        <v>2</v>
      </c>
      <c r="H159" s="2" t="str">
        <f t="shared" ref="H159:H222" si="29">LEFT(J159,1)</f>
        <v>5</v>
      </c>
      <c r="I159" s="8" t="str">
        <f t="shared" ref="I159:I222" si="30">LEFT(D159,3)</f>
        <v>3(2</v>
      </c>
      <c r="J159" s="8" t="str">
        <f t="shared" ref="J159:J222" si="31">RIGHT(D159,2)</f>
        <v>5)</v>
      </c>
      <c r="K159" s="8" t="str">
        <f t="shared" ref="K159:K222" si="32">RIGHT(D159,4)</f>
        <v>2-5)</v>
      </c>
    </row>
    <row r="160" spans="1:11">
      <c r="A160" s="3" t="s">
        <v>432</v>
      </c>
      <c r="B160" s="3" t="s">
        <v>433</v>
      </c>
      <c r="C160" s="3" t="s">
        <v>434</v>
      </c>
      <c r="D160" s="3" t="s">
        <v>337</v>
      </c>
      <c r="E160" s="9" t="str">
        <f t="shared" si="26"/>
        <v>3</v>
      </c>
      <c r="F160" s="11" t="str">
        <f t="shared" si="27"/>
        <v>0</v>
      </c>
      <c r="G160" s="10" t="str">
        <f t="shared" si="28"/>
        <v>9</v>
      </c>
      <c r="H160" s="2" t="str">
        <f t="shared" si="29"/>
        <v>0</v>
      </c>
      <c r="I160" s="8" t="str">
        <f t="shared" si="30"/>
        <v>3(0</v>
      </c>
      <c r="J160" s="8" t="str">
        <f t="shared" si="31"/>
        <v>0)</v>
      </c>
      <c r="K160" s="8" t="str">
        <f t="shared" si="32"/>
        <v>9-0)</v>
      </c>
    </row>
    <row r="161" spans="1:11">
      <c r="A161" s="3" t="s">
        <v>435</v>
      </c>
      <c r="B161" s="3" t="s">
        <v>436</v>
      </c>
      <c r="C161" s="3" t="s">
        <v>437</v>
      </c>
      <c r="D161" s="3" t="s">
        <v>438</v>
      </c>
      <c r="E161" s="9" t="str">
        <f t="shared" si="26"/>
        <v>2</v>
      </c>
      <c r="F161" s="11" t="str">
        <f t="shared" si="27"/>
        <v>0</v>
      </c>
      <c r="G161" s="10" t="str">
        <f t="shared" si="28"/>
        <v>6</v>
      </c>
      <c r="H161" s="2" t="str">
        <f t="shared" si="29"/>
        <v>0</v>
      </c>
      <c r="I161" s="8" t="str">
        <f t="shared" si="30"/>
        <v>2(0</v>
      </c>
      <c r="J161" s="8" t="str">
        <f t="shared" si="31"/>
        <v>0)</v>
      </c>
      <c r="K161" s="8" t="str">
        <f t="shared" si="32"/>
        <v>6-0)</v>
      </c>
    </row>
    <row r="162" spans="1:11">
      <c r="A162" s="3" t="s">
        <v>439</v>
      </c>
      <c r="B162" s="3" t="s">
        <v>440</v>
      </c>
      <c r="C162" s="3" t="s">
        <v>441</v>
      </c>
      <c r="D162" s="3" t="s">
        <v>18</v>
      </c>
      <c r="E162" s="9" t="str">
        <f t="shared" si="26"/>
        <v>3</v>
      </c>
      <c r="F162" s="11" t="str">
        <f t="shared" si="27"/>
        <v>2</v>
      </c>
      <c r="G162" s="10" t="str">
        <f t="shared" si="28"/>
        <v>2</v>
      </c>
      <c r="H162" s="2" t="str">
        <f t="shared" si="29"/>
        <v>5</v>
      </c>
      <c r="I162" s="8" t="str">
        <f t="shared" si="30"/>
        <v>3(2</v>
      </c>
      <c r="J162" s="8" t="str">
        <f t="shared" si="31"/>
        <v>5)</v>
      </c>
      <c r="K162" s="8" t="str">
        <f t="shared" si="32"/>
        <v>2-5)</v>
      </c>
    </row>
    <row r="163" spans="1:11">
      <c r="A163" s="3" t="s">
        <v>297</v>
      </c>
      <c r="B163" s="3" t="s">
        <v>298</v>
      </c>
      <c r="C163" s="3" t="s">
        <v>299</v>
      </c>
      <c r="D163" s="3" t="s">
        <v>300</v>
      </c>
      <c r="I163" s="2"/>
      <c r="J163" s="2"/>
      <c r="K163" s="2"/>
    </row>
    <row r="164" spans="1:11">
      <c r="A164" s="3" t="s">
        <v>442</v>
      </c>
      <c r="B164" s="3" t="s">
        <v>443</v>
      </c>
      <c r="C164" s="3" t="s">
        <v>444</v>
      </c>
      <c r="D164" s="3" t="s">
        <v>18</v>
      </c>
      <c r="E164" s="9" t="str">
        <f t="shared" si="26"/>
        <v>3</v>
      </c>
      <c r="F164" s="11" t="str">
        <f t="shared" si="27"/>
        <v>2</v>
      </c>
      <c r="G164" s="10" t="str">
        <f t="shared" si="28"/>
        <v>2</v>
      </c>
      <c r="H164" s="2" t="str">
        <f t="shared" si="29"/>
        <v>5</v>
      </c>
      <c r="I164" s="8" t="str">
        <f t="shared" si="30"/>
        <v>3(2</v>
      </c>
      <c r="J164" s="8" t="str">
        <f t="shared" si="31"/>
        <v>5)</v>
      </c>
      <c r="K164" s="8" t="str">
        <f t="shared" si="32"/>
        <v>2-5)</v>
      </c>
    </row>
    <row r="165" spans="1:11">
      <c r="A165" s="3" t="s">
        <v>445</v>
      </c>
      <c r="B165" s="3" t="s">
        <v>446</v>
      </c>
      <c r="C165" s="3" t="s">
        <v>447</v>
      </c>
      <c r="D165" s="3" t="s">
        <v>18</v>
      </c>
      <c r="E165" s="9" t="str">
        <f t="shared" si="26"/>
        <v>3</v>
      </c>
      <c r="F165" s="11" t="str">
        <f t="shared" si="27"/>
        <v>2</v>
      </c>
      <c r="G165" s="10" t="str">
        <f t="shared" si="28"/>
        <v>2</v>
      </c>
      <c r="H165" s="2" t="str">
        <f t="shared" si="29"/>
        <v>5</v>
      </c>
      <c r="I165" s="8" t="str">
        <f t="shared" si="30"/>
        <v>3(2</v>
      </c>
      <c r="J165" s="8" t="str">
        <f t="shared" si="31"/>
        <v>5)</v>
      </c>
      <c r="K165" s="8" t="str">
        <f t="shared" si="32"/>
        <v>2-5)</v>
      </c>
    </row>
    <row r="166" spans="1:11">
      <c r="A166" s="3" t="s">
        <v>448</v>
      </c>
      <c r="B166" s="3" t="s">
        <v>449</v>
      </c>
      <c r="C166" s="3" t="s">
        <v>450</v>
      </c>
      <c r="D166" s="3" t="s">
        <v>169</v>
      </c>
      <c r="E166" s="9" t="str">
        <f t="shared" si="26"/>
        <v>2</v>
      </c>
      <c r="F166" s="11" t="str">
        <f t="shared" si="27"/>
        <v>1</v>
      </c>
      <c r="G166" s="10" t="str">
        <f t="shared" si="28"/>
        <v>2</v>
      </c>
      <c r="H166" s="2" t="str">
        <f t="shared" si="29"/>
        <v>3</v>
      </c>
      <c r="I166" s="8" t="str">
        <f t="shared" si="30"/>
        <v>2(1</v>
      </c>
      <c r="J166" s="8" t="str">
        <f t="shared" si="31"/>
        <v>3)</v>
      </c>
      <c r="K166" s="8" t="str">
        <f t="shared" si="32"/>
        <v>2-3)</v>
      </c>
    </row>
    <row r="167" spans="1:11">
      <c r="A167" s="3" t="s">
        <v>451</v>
      </c>
      <c r="B167" s="3" t="s">
        <v>452</v>
      </c>
      <c r="C167" s="3" t="s">
        <v>453</v>
      </c>
      <c r="D167" s="3" t="s">
        <v>454</v>
      </c>
      <c r="E167" s="9" t="str">
        <f t="shared" si="26"/>
        <v>3</v>
      </c>
      <c r="F167" s="11" t="str">
        <f t="shared" si="27"/>
        <v>0</v>
      </c>
      <c r="G167" s="10" t="str">
        <f t="shared" si="28"/>
        <v>6</v>
      </c>
      <c r="H167" s="2" t="str">
        <f t="shared" si="29"/>
        <v>0</v>
      </c>
      <c r="I167" s="8" t="str">
        <f t="shared" si="30"/>
        <v>3(0</v>
      </c>
      <c r="J167" s="8" t="str">
        <f t="shared" si="31"/>
        <v>0)</v>
      </c>
      <c r="K167" s="8" t="str">
        <f t="shared" si="32"/>
        <v>6-0)</v>
      </c>
    </row>
    <row r="168" spans="1:11">
      <c r="A168" s="3" t="s">
        <v>455</v>
      </c>
      <c r="B168" s="3" t="s">
        <v>456</v>
      </c>
      <c r="C168" s="3" t="s">
        <v>457</v>
      </c>
      <c r="D168" s="3" t="s">
        <v>169</v>
      </c>
      <c r="E168" s="9" t="str">
        <f t="shared" si="26"/>
        <v>2</v>
      </c>
      <c r="F168" s="11" t="str">
        <f t="shared" si="27"/>
        <v>1</v>
      </c>
      <c r="G168" s="10" t="str">
        <f t="shared" si="28"/>
        <v>2</v>
      </c>
      <c r="H168" s="2" t="str">
        <f t="shared" si="29"/>
        <v>3</v>
      </c>
      <c r="I168" s="8" t="str">
        <f t="shared" si="30"/>
        <v>2(1</v>
      </c>
      <c r="J168" s="8" t="str">
        <f t="shared" si="31"/>
        <v>3)</v>
      </c>
      <c r="K168" s="8" t="str">
        <f t="shared" si="32"/>
        <v>2-3)</v>
      </c>
    </row>
    <row r="169" spans="1:11">
      <c r="A169" s="3" t="s">
        <v>458</v>
      </c>
      <c r="B169" s="3" t="s">
        <v>459</v>
      </c>
      <c r="C169" s="3" t="s">
        <v>460</v>
      </c>
      <c r="D169" s="3" t="s">
        <v>169</v>
      </c>
      <c r="E169" s="9" t="str">
        <f t="shared" si="26"/>
        <v>2</v>
      </c>
      <c r="F169" s="11" t="str">
        <f t="shared" si="27"/>
        <v>1</v>
      </c>
      <c r="G169" s="10" t="str">
        <f t="shared" si="28"/>
        <v>2</v>
      </c>
      <c r="H169" s="2" t="str">
        <f t="shared" si="29"/>
        <v>3</v>
      </c>
      <c r="I169" s="8" t="str">
        <f t="shared" si="30"/>
        <v>2(1</v>
      </c>
      <c r="J169" s="8" t="str">
        <f t="shared" si="31"/>
        <v>3)</v>
      </c>
      <c r="K169" s="8" t="str">
        <f t="shared" si="32"/>
        <v>2-3)</v>
      </c>
    </row>
    <row r="170" spans="1:11">
      <c r="A170" s="3" t="s">
        <v>461</v>
      </c>
      <c r="B170" s="3" t="s">
        <v>462</v>
      </c>
      <c r="C170" s="3" t="s">
        <v>463</v>
      </c>
      <c r="D170" s="3" t="s">
        <v>6</v>
      </c>
      <c r="E170" s="9" t="str">
        <f t="shared" si="26"/>
        <v>3</v>
      </c>
      <c r="F170" s="11" t="str">
        <f t="shared" si="27"/>
        <v>3</v>
      </c>
      <c r="G170" s="10" t="str">
        <f t="shared" si="28"/>
        <v>0</v>
      </c>
      <c r="H170" s="2" t="str">
        <f t="shared" si="29"/>
        <v>6</v>
      </c>
      <c r="I170" s="8" t="str">
        <f t="shared" si="30"/>
        <v>3(3</v>
      </c>
      <c r="J170" s="8" t="str">
        <f t="shared" si="31"/>
        <v>6)</v>
      </c>
      <c r="K170" s="8" t="str">
        <f t="shared" si="32"/>
        <v>0-6)</v>
      </c>
    </row>
    <row r="171" spans="1:11" ht="43.5">
      <c r="A171" s="3" t="s">
        <v>464</v>
      </c>
      <c r="B171" s="3" t="s">
        <v>465</v>
      </c>
      <c r="C171" s="3" t="s">
        <v>466</v>
      </c>
      <c r="D171" s="3" t="s">
        <v>6</v>
      </c>
      <c r="E171" s="9" t="str">
        <f t="shared" si="26"/>
        <v>3</v>
      </c>
      <c r="F171" s="11" t="str">
        <f t="shared" si="27"/>
        <v>3</v>
      </c>
      <c r="G171" s="10" t="str">
        <f t="shared" si="28"/>
        <v>0</v>
      </c>
      <c r="H171" s="2" t="str">
        <f t="shared" si="29"/>
        <v>6</v>
      </c>
      <c r="I171" s="8" t="str">
        <f t="shared" si="30"/>
        <v>3(3</v>
      </c>
      <c r="J171" s="8" t="str">
        <f t="shared" si="31"/>
        <v>6)</v>
      </c>
      <c r="K171" s="8" t="str">
        <f t="shared" si="32"/>
        <v>0-6)</v>
      </c>
    </row>
    <row r="172" spans="1:11" ht="43.5">
      <c r="A172" s="3" t="s">
        <v>467</v>
      </c>
      <c r="B172" s="3" t="s">
        <v>468</v>
      </c>
      <c r="C172" s="3" t="s">
        <v>469</v>
      </c>
      <c r="D172" s="3" t="s">
        <v>470</v>
      </c>
      <c r="I172" s="2"/>
      <c r="J172" s="2"/>
      <c r="K172" s="2"/>
    </row>
    <row r="173" spans="1:11">
      <c r="A173" s="3" t="s">
        <v>471</v>
      </c>
      <c r="B173" s="3" t="s">
        <v>472</v>
      </c>
      <c r="C173" s="3" t="s">
        <v>473</v>
      </c>
      <c r="D173" s="3" t="s">
        <v>474</v>
      </c>
      <c r="E173" s="9" t="str">
        <f t="shared" si="26"/>
        <v>2</v>
      </c>
      <c r="F173" s="11" t="str">
        <f t="shared" si="27"/>
        <v>1</v>
      </c>
      <c r="G173" s="10" t="str">
        <f t="shared" si="28"/>
        <v>2</v>
      </c>
      <c r="H173" s="2" t="str">
        <f t="shared" si="29"/>
        <v>6</v>
      </c>
      <c r="I173" s="8" t="str">
        <f t="shared" si="30"/>
        <v>2(1</v>
      </c>
      <c r="J173" s="8" t="str">
        <f t="shared" si="31"/>
        <v>6)</v>
      </c>
      <c r="K173" s="8" t="str">
        <f t="shared" si="32"/>
        <v>2-6)</v>
      </c>
    </row>
    <row r="174" spans="1:11">
      <c r="A174" s="3" t="s">
        <v>435</v>
      </c>
      <c r="B174" s="3" t="s">
        <v>436</v>
      </c>
      <c r="C174" s="3" t="s">
        <v>437</v>
      </c>
      <c r="D174" s="3" t="s">
        <v>438</v>
      </c>
      <c r="E174" s="9" t="str">
        <f t="shared" si="26"/>
        <v>2</v>
      </c>
      <c r="F174" s="11" t="str">
        <f t="shared" si="27"/>
        <v>0</v>
      </c>
      <c r="G174" s="10" t="str">
        <f t="shared" si="28"/>
        <v>6</v>
      </c>
      <c r="H174" s="2" t="str">
        <f t="shared" si="29"/>
        <v>0</v>
      </c>
      <c r="I174" s="8" t="str">
        <f t="shared" si="30"/>
        <v>2(0</v>
      </c>
      <c r="J174" s="8" t="str">
        <f t="shared" si="31"/>
        <v>0)</v>
      </c>
      <c r="K174" s="8" t="str">
        <f t="shared" si="32"/>
        <v>6-0)</v>
      </c>
    </row>
    <row r="175" spans="1:11" ht="43.5">
      <c r="A175" s="3" t="s">
        <v>475</v>
      </c>
      <c r="B175" s="3" t="s">
        <v>476</v>
      </c>
      <c r="C175" s="3" t="s">
        <v>477</v>
      </c>
      <c r="D175" s="3" t="s">
        <v>478</v>
      </c>
      <c r="I175" s="2"/>
      <c r="J175" s="2"/>
      <c r="K175" s="2"/>
    </row>
    <row r="176" spans="1:11">
      <c r="A176" s="3" t="s">
        <v>479</v>
      </c>
      <c r="B176" s="3" t="s">
        <v>204</v>
      </c>
      <c r="C176" s="3" t="s">
        <v>480</v>
      </c>
      <c r="D176" s="3" t="s">
        <v>6</v>
      </c>
      <c r="E176" s="9" t="str">
        <f t="shared" si="26"/>
        <v>3</v>
      </c>
      <c r="F176" s="11" t="str">
        <f t="shared" si="27"/>
        <v>3</v>
      </c>
      <c r="G176" s="10" t="str">
        <f t="shared" si="28"/>
        <v>0</v>
      </c>
      <c r="H176" s="2" t="str">
        <f t="shared" si="29"/>
        <v>6</v>
      </c>
      <c r="I176" s="8" t="str">
        <f t="shared" si="30"/>
        <v>3(3</v>
      </c>
      <c r="J176" s="8" t="str">
        <f t="shared" si="31"/>
        <v>6)</v>
      </c>
      <c r="K176" s="8" t="str">
        <f t="shared" si="32"/>
        <v>0-6)</v>
      </c>
    </row>
    <row r="177" spans="1:11">
      <c r="A177" s="3" t="s">
        <v>481</v>
      </c>
      <c r="B177" s="3" t="s">
        <v>482</v>
      </c>
      <c r="C177" s="3" t="s">
        <v>483</v>
      </c>
      <c r="D177" s="3" t="s">
        <v>18</v>
      </c>
      <c r="E177" s="9" t="str">
        <f t="shared" si="26"/>
        <v>3</v>
      </c>
      <c r="F177" s="11" t="str">
        <f t="shared" si="27"/>
        <v>2</v>
      </c>
      <c r="G177" s="10" t="str">
        <f t="shared" si="28"/>
        <v>2</v>
      </c>
      <c r="H177" s="2" t="str">
        <f t="shared" si="29"/>
        <v>5</v>
      </c>
      <c r="I177" s="8" t="str">
        <f t="shared" si="30"/>
        <v>3(2</v>
      </c>
      <c r="J177" s="8" t="str">
        <f t="shared" si="31"/>
        <v>5)</v>
      </c>
      <c r="K177" s="8" t="str">
        <f t="shared" si="32"/>
        <v>2-5)</v>
      </c>
    </row>
    <row r="178" spans="1:11">
      <c r="A178" s="3" t="s">
        <v>484</v>
      </c>
      <c r="B178" s="3" t="s">
        <v>485</v>
      </c>
      <c r="C178" s="3" t="s">
        <v>486</v>
      </c>
      <c r="D178" s="3" t="s">
        <v>18</v>
      </c>
      <c r="E178" s="9" t="str">
        <f t="shared" si="26"/>
        <v>3</v>
      </c>
      <c r="F178" s="11" t="str">
        <f t="shared" si="27"/>
        <v>2</v>
      </c>
      <c r="G178" s="10" t="str">
        <f t="shared" si="28"/>
        <v>2</v>
      </c>
      <c r="H178" s="2" t="str">
        <f t="shared" si="29"/>
        <v>5</v>
      </c>
      <c r="I178" s="8" t="str">
        <f t="shared" si="30"/>
        <v>3(2</v>
      </c>
      <c r="J178" s="8" t="str">
        <f t="shared" si="31"/>
        <v>5)</v>
      </c>
      <c r="K178" s="8" t="str">
        <f t="shared" si="32"/>
        <v>2-5)</v>
      </c>
    </row>
    <row r="179" spans="1:11">
      <c r="A179" s="3" t="s">
        <v>487</v>
      </c>
      <c r="B179" s="3" t="s">
        <v>217</v>
      </c>
      <c r="C179" s="3" t="s">
        <v>218</v>
      </c>
      <c r="D179" s="3" t="s">
        <v>18</v>
      </c>
      <c r="E179" s="9" t="str">
        <f t="shared" si="26"/>
        <v>3</v>
      </c>
      <c r="F179" s="11" t="str">
        <f t="shared" si="27"/>
        <v>2</v>
      </c>
      <c r="G179" s="10" t="str">
        <f t="shared" si="28"/>
        <v>2</v>
      </c>
      <c r="H179" s="2" t="str">
        <f t="shared" si="29"/>
        <v>5</v>
      </c>
      <c r="I179" s="8" t="str">
        <f t="shared" si="30"/>
        <v>3(2</v>
      </c>
      <c r="J179" s="8" t="str">
        <f t="shared" si="31"/>
        <v>5)</v>
      </c>
      <c r="K179" s="8" t="str">
        <f t="shared" si="32"/>
        <v>2-5)</v>
      </c>
    </row>
    <row r="180" spans="1:11">
      <c r="A180" s="3" t="s">
        <v>488</v>
      </c>
      <c r="B180" s="3" t="s">
        <v>489</v>
      </c>
      <c r="C180" s="3" t="s">
        <v>490</v>
      </c>
      <c r="D180" s="3" t="s">
        <v>18</v>
      </c>
      <c r="E180" s="9" t="str">
        <f t="shared" si="26"/>
        <v>3</v>
      </c>
      <c r="F180" s="11" t="str">
        <f t="shared" si="27"/>
        <v>2</v>
      </c>
      <c r="G180" s="10" t="str">
        <f t="shared" si="28"/>
        <v>2</v>
      </c>
      <c r="H180" s="2" t="str">
        <f t="shared" si="29"/>
        <v>5</v>
      </c>
      <c r="I180" s="8" t="str">
        <f t="shared" si="30"/>
        <v>3(2</v>
      </c>
      <c r="J180" s="8" t="str">
        <f t="shared" si="31"/>
        <v>5)</v>
      </c>
      <c r="K180" s="8" t="str">
        <f t="shared" si="32"/>
        <v>2-5)</v>
      </c>
    </row>
    <row r="181" spans="1:11" ht="43.5">
      <c r="A181" s="3" t="s">
        <v>491</v>
      </c>
      <c r="B181" s="3" t="s">
        <v>371</v>
      </c>
      <c r="C181" s="3" t="s">
        <v>243</v>
      </c>
      <c r="D181" s="3" t="s">
        <v>18</v>
      </c>
      <c r="E181" s="9" t="str">
        <f t="shared" si="26"/>
        <v>3</v>
      </c>
      <c r="F181" s="11" t="str">
        <f t="shared" si="27"/>
        <v>2</v>
      </c>
      <c r="G181" s="10" t="str">
        <f t="shared" si="28"/>
        <v>2</v>
      </c>
      <c r="H181" s="2" t="str">
        <f t="shared" si="29"/>
        <v>5</v>
      </c>
      <c r="I181" s="8" t="str">
        <f t="shared" si="30"/>
        <v>3(2</v>
      </c>
      <c r="J181" s="8" t="str">
        <f t="shared" si="31"/>
        <v>5)</v>
      </c>
      <c r="K181" s="8" t="str">
        <f t="shared" si="32"/>
        <v>2-5)</v>
      </c>
    </row>
    <row r="182" spans="1:11">
      <c r="A182" s="3" t="s">
        <v>492</v>
      </c>
      <c r="B182" s="3" t="s">
        <v>493</v>
      </c>
      <c r="C182" s="3" t="s">
        <v>494</v>
      </c>
      <c r="D182" s="3" t="s">
        <v>18</v>
      </c>
      <c r="E182" s="9" t="str">
        <f t="shared" si="26"/>
        <v>3</v>
      </c>
      <c r="F182" s="11" t="str">
        <f t="shared" si="27"/>
        <v>2</v>
      </c>
      <c r="G182" s="10" t="str">
        <f t="shared" si="28"/>
        <v>2</v>
      </c>
      <c r="H182" s="2" t="str">
        <f t="shared" si="29"/>
        <v>5</v>
      </c>
      <c r="I182" s="8" t="str">
        <f t="shared" si="30"/>
        <v>3(2</v>
      </c>
      <c r="J182" s="8" t="str">
        <f t="shared" si="31"/>
        <v>5)</v>
      </c>
      <c r="K182" s="8" t="str">
        <f t="shared" si="32"/>
        <v>2-5)</v>
      </c>
    </row>
    <row r="183" spans="1:11">
      <c r="A183" s="3" t="s">
        <v>495</v>
      </c>
      <c r="B183" s="3" t="s">
        <v>496</v>
      </c>
      <c r="C183" s="3" t="s">
        <v>497</v>
      </c>
      <c r="D183" s="3" t="s">
        <v>6</v>
      </c>
      <c r="E183" s="9" t="str">
        <f t="shared" si="26"/>
        <v>3</v>
      </c>
      <c r="F183" s="11" t="str">
        <f t="shared" si="27"/>
        <v>3</v>
      </c>
      <c r="G183" s="10" t="str">
        <f t="shared" si="28"/>
        <v>0</v>
      </c>
      <c r="H183" s="2" t="str">
        <f t="shared" si="29"/>
        <v>6</v>
      </c>
      <c r="I183" s="8" t="str">
        <f t="shared" si="30"/>
        <v>3(3</v>
      </c>
      <c r="J183" s="8" t="str">
        <f t="shared" si="31"/>
        <v>6)</v>
      </c>
      <c r="K183" s="8" t="str">
        <f t="shared" si="32"/>
        <v>0-6)</v>
      </c>
    </row>
    <row r="184" spans="1:11">
      <c r="A184" s="3" t="s">
        <v>398</v>
      </c>
      <c r="B184" s="3" t="s">
        <v>498</v>
      </c>
      <c r="C184" s="3" t="s">
        <v>253</v>
      </c>
      <c r="D184" s="3" t="s">
        <v>6</v>
      </c>
      <c r="E184" s="9" t="str">
        <f t="shared" si="26"/>
        <v>3</v>
      </c>
      <c r="F184" s="11" t="str">
        <f t="shared" si="27"/>
        <v>3</v>
      </c>
      <c r="G184" s="10" t="str">
        <f t="shared" si="28"/>
        <v>0</v>
      </c>
      <c r="H184" s="2" t="str">
        <f t="shared" si="29"/>
        <v>6</v>
      </c>
      <c r="I184" s="8" t="str">
        <f t="shared" si="30"/>
        <v>3(3</v>
      </c>
      <c r="J184" s="8" t="str">
        <f t="shared" si="31"/>
        <v>6)</v>
      </c>
      <c r="K184" s="8" t="str">
        <f t="shared" si="32"/>
        <v>0-6)</v>
      </c>
    </row>
    <row r="185" spans="1:11">
      <c r="A185" s="3" t="s">
        <v>402</v>
      </c>
      <c r="B185" s="3" t="s">
        <v>403</v>
      </c>
      <c r="C185" s="3" t="s">
        <v>255</v>
      </c>
      <c r="D185" s="3" t="s">
        <v>6</v>
      </c>
      <c r="E185" s="9" t="str">
        <f t="shared" si="26"/>
        <v>3</v>
      </c>
      <c r="F185" s="11" t="str">
        <f t="shared" si="27"/>
        <v>3</v>
      </c>
      <c r="G185" s="10" t="str">
        <f t="shared" si="28"/>
        <v>0</v>
      </c>
      <c r="H185" s="2" t="str">
        <f t="shared" si="29"/>
        <v>6</v>
      </c>
      <c r="I185" s="8" t="str">
        <f t="shared" si="30"/>
        <v>3(3</v>
      </c>
      <c r="J185" s="8" t="str">
        <f t="shared" si="31"/>
        <v>6)</v>
      </c>
      <c r="K185" s="8" t="str">
        <f t="shared" si="32"/>
        <v>0-6)</v>
      </c>
    </row>
    <row r="186" spans="1:11">
      <c r="A186" s="3" t="s">
        <v>499</v>
      </c>
      <c r="B186" s="3" t="s">
        <v>500</v>
      </c>
      <c r="C186" s="3" t="s">
        <v>501</v>
      </c>
      <c r="D186" s="3" t="s">
        <v>6</v>
      </c>
      <c r="E186" s="9" t="str">
        <f t="shared" si="26"/>
        <v>3</v>
      </c>
      <c r="F186" s="11" t="str">
        <f t="shared" si="27"/>
        <v>3</v>
      </c>
      <c r="G186" s="10" t="str">
        <f t="shared" si="28"/>
        <v>0</v>
      </c>
      <c r="H186" s="2" t="str">
        <f t="shared" si="29"/>
        <v>6</v>
      </c>
      <c r="I186" s="8" t="str">
        <f t="shared" si="30"/>
        <v>3(3</v>
      </c>
      <c r="J186" s="8" t="str">
        <f t="shared" si="31"/>
        <v>6)</v>
      </c>
      <c r="K186" s="8" t="str">
        <f t="shared" si="32"/>
        <v>0-6)</v>
      </c>
    </row>
    <row r="187" spans="1:11">
      <c r="A187" s="3" t="s">
        <v>502</v>
      </c>
      <c r="B187" s="3" t="s">
        <v>503</v>
      </c>
      <c r="C187" s="3" t="s">
        <v>504</v>
      </c>
      <c r="D187" s="3" t="s">
        <v>169</v>
      </c>
      <c r="E187" s="9" t="str">
        <f t="shared" si="26"/>
        <v>2</v>
      </c>
      <c r="F187" s="11" t="str">
        <f t="shared" si="27"/>
        <v>1</v>
      </c>
      <c r="G187" s="10" t="str">
        <f t="shared" si="28"/>
        <v>2</v>
      </c>
      <c r="H187" s="2" t="str">
        <f t="shared" si="29"/>
        <v>3</v>
      </c>
      <c r="I187" s="8" t="str">
        <f t="shared" si="30"/>
        <v>2(1</v>
      </c>
      <c r="J187" s="8" t="str">
        <f t="shared" si="31"/>
        <v>3)</v>
      </c>
      <c r="K187" s="8" t="str">
        <f t="shared" si="32"/>
        <v>2-3)</v>
      </c>
    </row>
    <row r="188" spans="1:11">
      <c r="A188" s="3" t="s">
        <v>505</v>
      </c>
      <c r="B188" s="3" t="s">
        <v>506</v>
      </c>
      <c r="C188" s="3" t="s">
        <v>507</v>
      </c>
      <c r="D188" s="3" t="s">
        <v>18</v>
      </c>
      <c r="E188" s="9" t="str">
        <f t="shared" si="26"/>
        <v>3</v>
      </c>
      <c r="F188" s="11" t="str">
        <f t="shared" si="27"/>
        <v>2</v>
      </c>
      <c r="G188" s="10" t="str">
        <f t="shared" si="28"/>
        <v>2</v>
      </c>
      <c r="H188" s="2" t="str">
        <f t="shared" si="29"/>
        <v>5</v>
      </c>
      <c r="I188" s="8" t="str">
        <f t="shared" si="30"/>
        <v>3(2</v>
      </c>
      <c r="J188" s="8" t="str">
        <f t="shared" si="31"/>
        <v>5)</v>
      </c>
      <c r="K188" s="8" t="str">
        <f t="shared" si="32"/>
        <v>2-5)</v>
      </c>
    </row>
    <row r="189" spans="1:11">
      <c r="A189" s="3" t="s">
        <v>508</v>
      </c>
      <c r="B189" s="3" t="s">
        <v>509</v>
      </c>
      <c r="C189" s="3" t="s">
        <v>510</v>
      </c>
      <c r="D189" s="3" t="s">
        <v>6</v>
      </c>
      <c r="E189" s="9" t="str">
        <f t="shared" si="26"/>
        <v>3</v>
      </c>
      <c r="F189" s="11" t="str">
        <f t="shared" si="27"/>
        <v>3</v>
      </c>
      <c r="G189" s="10" t="str">
        <f t="shared" si="28"/>
        <v>0</v>
      </c>
      <c r="H189" s="2" t="str">
        <f t="shared" si="29"/>
        <v>6</v>
      </c>
      <c r="I189" s="8" t="str">
        <f t="shared" si="30"/>
        <v>3(3</v>
      </c>
      <c r="J189" s="8" t="str">
        <f t="shared" si="31"/>
        <v>6)</v>
      </c>
      <c r="K189" s="8" t="str">
        <f t="shared" si="32"/>
        <v>0-6)</v>
      </c>
    </row>
    <row r="190" spans="1:11">
      <c r="A190" s="3" t="s">
        <v>407</v>
      </c>
      <c r="B190" s="3" t="s">
        <v>511</v>
      </c>
      <c r="C190" s="3" t="s">
        <v>409</v>
      </c>
      <c r="D190" s="3" t="s">
        <v>18</v>
      </c>
      <c r="E190" s="9" t="str">
        <f t="shared" si="26"/>
        <v>3</v>
      </c>
      <c r="F190" s="11" t="str">
        <f t="shared" si="27"/>
        <v>2</v>
      </c>
      <c r="G190" s="10" t="str">
        <f t="shared" si="28"/>
        <v>2</v>
      </c>
      <c r="H190" s="2" t="str">
        <f t="shared" si="29"/>
        <v>5</v>
      </c>
      <c r="I190" s="8" t="str">
        <f t="shared" si="30"/>
        <v>3(2</v>
      </c>
      <c r="J190" s="8" t="str">
        <f t="shared" si="31"/>
        <v>5)</v>
      </c>
      <c r="K190" s="8" t="str">
        <f t="shared" si="32"/>
        <v>2-5)</v>
      </c>
    </row>
    <row r="191" spans="1:11">
      <c r="A191" s="3" t="s">
        <v>413</v>
      </c>
      <c r="B191" s="3" t="s">
        <v>414</v>
      </c>
      <c r="C191" s="3" t="s">
        <v>415</v>
      </c>
      <c r="D191" s="3" t="s">
        <v>6</v>
      </c>
      <c r="E191" s="9" t="str">
        <f t="shared" si="26"/>
        <v>3</v>
      </c>
      <c r="F191" s="11" t="str">
        <f t="shared" si="27"/>
        <v>3</v>
      </c>
      <c r="G191" s="10" t="str">
        <f t="shared" si="28"/>
        <v>0</v>
      </c>
      <c r="H191" s="2" t="str">
        <f t="shared" si="29"/>
        <v>6</v>
      </c>
      <c r="I191" s="8" t="str">
        <f t="shared" si="30"/>
        <v>3(3</v>
      </c>
      <c r="J191" s="8" t="str">
        <f t="shared" si="31"/>
        <v>6)</v>
      </c>
      <c r="K191" s="8" t="str">
        <f t="shared" si="32"/>
        <v>0-6)</v>
      </c>
    </row>
    <row r="192" spans="1:11">
      <c r="A192" s="3" t="s">
        <v>411</v>
      </c>
      <c r="B192" s="3" t="s">
        <v>512</v>
      </c>
      <c r="C192" s="3" t="s">
        <v>269</v>
      </c>
      <c r="D192" s="3" t="s">
        <v>6</v>
      </c>
      <c r="E192" s="9" t="str">
        <f t="shared" si="26"/>
        <v>3</v>
      </c>
      <c r="F192" s="11" t="str">
        <f t="shared" si="27"/>
        <v>3</v>
      </c>
      <c r="G192" s="10" t="str">
        <f t="shared" si="28"/>
        <v>0</v>
      </c>
      <c r="H192" s="2" t="str">
        <f t="shared" si="29"/>
        <v>6</v>
      </c>
      <c r="I192" s="8" t="str">
        <f t="shared" si="30"/>
        <v>3(3</v>
      </c>
      <c r="J192" s="8" t="str">
        <f t="shared" si="31"/>
        <v>6)</v>
      </c>
      <c r="K192" s="8" t="str">
        <f t="shared" si="32"/>
        <v>0-6)</v>
      </c>
    </row>
    <row r="193" spans="1:11">
      <c r="A193" s="3" t="s">
        <v>513</v>
      </c>
      <c r="B193" s="3" t="s">
        <v>514</v>
      </c>
      <c r="C193" s="3" t="s">
        <v>515</v>
      </c>
      <c r="D193" s="3" t="s">
        <v>200</v>
      </c>
      <c r="E193" s="9" t="str">
        <f t="shared" si="26"/>
        <v>2</v>
      </c>
      <c r="F193" s="11" t="str">
        <f t="shared" si="27"/>
        <v>2</v>
      </c>
      <c r="G193" s="10" t="str">
        <f t="shared" si="28"/>
        <v>0</v>
      </c>
      <c r="H193" s="2" t="str">
        <f t="shared" si="29"/>
        <v>4</v>
      </c>
      <c r="I193" s="8" t="str">
        <f t="shared" si="30"/>
        <v>2(2</v>
      </c>
      <c r="J193" s="8" t="str">
        <f t="shared" si="31"/>
        <v>4)</v>
      </c>
      <c r="K193" s="8" t="str">
        <f t="shared" si="32"/>
        <v>0-4)</v>
      </c>
    </row>
    <row r="194" spans="1:11">
      <c r="A194" s="3" t="s">
        <v>516</v>
      </c>
      <c r="B194" s="3" t="s">
        <v>517</v>
      </c>
      <c r="C194" s="3" t="s">
        <v>518</v>
      </c>
      <c r="D194" s="3" t="s">
        <v>18</v>
      </c>
      <c r="E194" s="9" t="str">
        <f t="shared" si="26"/>
        <v>3</v>
      </c>
      <c r="F194" s="11" t="str">
        <f t="shared" si="27"/>
        <v>2</v>
      </c>
      <c r="G194" s="10" t="str">
        <f t="shared" si="28"/>
        <v>2</v>
      </c>
      <c r="H194" s="2" t="str">
        <f t="shared" si="29"/>
        <v>5</v>
      </c>
      <c r="I194" s="8" t="str">
        <f t="shared" si="30"/>
        <v>3(2</v>
      </c>
      <c r="J194" s="8" t="str">
        <f t="shared" si="31"/>
        <v>5)</v>
      </c>
      <c r="K194" s="8" t="str">
        <f t="shared" si="32"/>
        <v>2-5)</v>
      </c>
    </row>
    <row r="195" spans="1:11">
      <c r="A195" s="3" t="s">
        <v>445</v>
      </c>
      <c r="B195" s="3" t="s">
        <v>519</v>
      </c>
      <c r="C195" s="3" t="s">
        <v>447</v>
      </c>
      <c r="D195" s="3" t="s">
        <v>18</v>
      </c>
      <c r="E195" s="9" t="str">
        <f t="shared" si="26"/>
        <v>3</v>
      </c>
      <c r="F195" s="11" t="str">
        <f t="shared" si="27"/>
        <v>2</v>
      </c>
      <c r="G195" s="10" t="str">
        <f t="shared" si="28"/>
        <v>2</v>
      </c>
      <c r="H195" s="2" t="str">
        <f t="shared" si="29"/>
        <v>5</v>
      </c>
      <c r="I195" s="8" t="str">
        <f t="shared" si="30"/>
        <v>3(2</v>
      </c>
      <c r="J195" s="8" t="str">
        <f t="shared" si="31"/>
        <v>5)</v>
      </c>
      <c r="K195" s="8" t="str">
        <f t="shared" si="32"/>
        <v>2-5)</v>
      </c>
    </row>
    <row r="196" spans="1:11">
      <c r="A196" s="3" t="s">
        <v>520</v>
      </c>
      <c r="B196" s="3" t="s">
        <v>521</v>
      </c>
      <c r="C196" s="3" t="s">
        <v>522</v>
      </c>
      <c r="D196" s="3" t="s">
        <v>200</v>
      </c>
      <c r="E196" s="9" t="str">
        <f t="shared" ref="E196:E259" si="33">LEFT(D196,1)</f>
        <v>2</v>
      </c>
      <c r="F196" s="11" t="str">
        <f t="shared" si="27"/>
        <v>2</v>
      </c>
      <c r="G196" s="10" t="str">
        <f t="shared" si="28"/>
        <v>0</v>
      </c>
      <c r="H196" s="2" t="str">
        <f t="shared" si="29"/>
        <v>4</v>
      </c>
      <c r="I196" s="8" t="str">
        <f t="shared" si="30"/>
        <v>2(2</v>
      </c>
      <c r="J196" s="8" t="str">
        <f t="shared" si="31"/>
        <v>4)</v>
      </c>
      <c r="K196" s="8" t="str">
        <f t="shared" si="32"/>
        <v>0-4)</v>
      </c>
    </row>
    <row r="197" spans="1:11">
      <c r="A197" s="3" t="s">
        <v>523</v>
      </c>
      <c r="B197" s="3" t="s">
        <v>524</v>
      </c>
      <c r="C197" s="3" t="s">
        <v>525</v>
      </c>
      <c r="D197" s="3" t="s">
        <v>18</v>
      </c>
      <c r="E197" s="9" t="str">
        <f t="shared" si="33"/>
        <v>3</v>
      </c>
      <c r="F197" s="11" t="str">
        <f t="shared" si="27"/>
        <v>2</v>
      </c>
      <c r="G197" s="10" t="str">
        <f t="shared" si="28"/>
        <v>2</v>
      </c>
      <c r="H197" s="2" t="str">
        <f t="shared" si="29"/>
        <v>5</v>
      </c>
      <c r="I197" s="8" t="str">
        <f t="shared" si="30"/>
        <v>3(2</v>
      </c>
      <c r="J197" s="8" t="str">
        <f t="shared" si="31"/>
        <v>5)</v>
      </c>
      <c r="K197" s="8" t="str">
        <f t="shared" si="32"/>
        <v>2-5)</v>
      </c>
    </row>
    <row r="198" spans="1:11">
      <c r="A198" s="3" t="s">
        <v>526</v>
      </c>
      <c r="B198" s="3" t="s">
        <v>527</v>
      </c>
      <c r="C198" s="3" t="s">
        <v>528</v>
      </c>
      <c r="D198" s="3" t="s">
        <v>18</v>
      </c>
      <c r="E198" s="9" t="str">
        <f t="shared" si="33"/>
        <v>3</v>
      </c>
      <c r="F198" s="11" t="str">
        <f t="shared" si="27"/>
        <v>2</v>
      </c>
      <c r="G198" s="10" t="str">
        <f t="shared" si="28"/>
        <v>2</v>
      </c>
      <c r="H198" s="2" t="str">
        <f t="shared" si="29"/>
        <v>5</v>
      </c>
      <c r="I198" s="8" t="str">
        <f t="shared" si="30"/>
        <v>3(2</v>
      </c>
      <c r="J198" s="8" t="str">
        <f t="shared" si="31"/>
        <v>5)</v>
      </c>
      <c r="K198" s="8" t="str">
        <f t="shared" si="32"/>
        <v>2-5)</v>
      </c>
    </row>
    <row r="199" spans="1:11">
      <c r="A199" s="3" t="s">
        <v>529</v>
      </c>
      <c r="B199" s="3" t="s">
        <v>530</v>
      </c>
      <c r="C199" s="3" t="s">
        <v>531</v>
      </c>
      <c r="D199" s="3" t="s">
        <v>18</v>
      </c>
      <c r="E199" s="9" t="str">
        <f t="shared" si="33"/>
        <v>3</v>
      </c>
      <c r="F199" s="11" t="str">
        <f t="shared" si="27"/>
        <v>2</v>
      </c>
      <c r="G199" s="10" t="str">
        <f t="shared" si="28"/>
        <v>2</v>
      </c>
      <c r="H199" s="2" t="str">
        <f t="shared" si="29"/>
        <v>5</v>
      </c>
      <c r="I199" s="8" t="str">
        <f t="shared" si="30"/>
        <v>3(2</v>
      </c>
      <c r="J199" s="8" t="str">
        <f t="shared" si="31"/>
        <v>5)</v>
      </c>
      <c r="K199" s="8" t="str">
        <f t="shared" si="32"/>
        <v>2-5)</v>
      </c>
    </row>
    <row r="200" spans="1:11">
      <c r="A200" s="3" t="s">
        <v>532</v>
      </c>
      <c r="B200" s="3" t="s">
        <v>533</v>
      </c>
      <c r="C200" s="3" t="s">
        <v>494</v>
      </c>
      <c r="D200" s="3" t="s">
        <v>18</v>
      </c>
      <c r="E200" s="9" t="str">
        <f t="shared" si="33"/>
        <v>3</v>
      </c>
      <c r="F200" s="11" t="str">
        <f t="shared" si="27"/>
        <v>2</v>
      </c>
      <c r="G200" s="10" t="str">
        <f t="shared" si="28"/>
        <v>2</v>
      </c>
      <c r="H200" s="2" t="str">
        <f t="shared" si="29"/>
        <v>5</v>
      </c>
      <c r="I200" s="8" t="str">
        <f t="shared" si="30"/>
        <v>3(2</v>
      </c>
      <c r="J200" s="8" t="str">
        <f t="shared" si="31"/>
        <v>5)</v>
      </c>
      <c r="K200" s="8" t="str">
        <f t="shared" si="32"/>
        <v>2-5)</v>
      </c>
    </row>
    <row r="201" spans="1:11">
      <c r="A201" s="3" t="s">
        <v>297</v>
      </c>
      <c r="B201" s="3" t="s">
        <v>298</v>
      </c>
      <c r="C201" s="3" t="s">
        <v>299</v>
      </c>
      <c r="D201" s="3" t="s">
        <v>534</v>
      </c>
      <c r="I201" s="2"/>
      <c r="J201" s="2"/>
      <c r="K201" s="2"/>
    </row>
    <row r="202" spans="1:11">
      <c r="A202" s="3" t="s">
        <v>535</v>
      </c>
      <c r="B202" s="3" t="s">
        <v>536</v>
      </c>
      <c r="C202" s="3" t="s">
        <v>537</v>
      </c>
      <c r="D202" s="3" t="s">
        <v>200</v>
      </c>
      <c r="E202" s="9" t="str">
        <f t="shared" si="33"/>
        <v>2</v>
      </c>
      <c r="F202" s="11" t="str">
        <f t="shared" si="27"/>
        <v>2</v>
      </c>
      <c r="G202" s="10" t="str">
        <f t="shared" si="28"/>
        <v>0</v>
      </c>
      <c r="H202" s="2" t="str">
        <f t="shared" si="29"/>
        <v>4</v>
      </c>
      <c r="I202" s="8" t="str">
        <f t="shared" si="30"/>
        <v>2(2</v>
      </c>
      <c r="J202" s="8" t="str">
        <f t="shared" si="31"/>
        <v>4)</v>
      </c>
      <c r="K202" s="8" t="str">
        <f t="shared" si="32"/>
        <v>0-4)</v>
      </c>
    </row>
    <row r="203" spans="1:11" ht="43.5">
      <c r="A203" s="3" t="s">
        <v>538</v>
      </c>
      <c r="B203" s="3" t="s">
        <v>539</v>
      </c>
      <c r="C203" s="3" t="s">
        <v>540</v>
      </c>
      <c r="D203" s="3" t="s">
        <v>18</v>
      </c>
      <c r="E203" s="9" t="str">
        <f t="shared" si="33"/>
        <v>3</v>
      </c>
      <c r="F203" s="11" t="str">
        <f t="shared" si="27"/>
        <v>2</v>
      </c>
      <c r="G203" s="10" t="str">
        <f t="shared" si="28"/>
        <v>2</v>
      </c>
      <c r="H203" s="2" t="str">
        <f t="shared" si="29"/>
        <v>5</v>
      </c>
      <c r="I203" s="8" t="str">
        <f t="shared" si="30"/>
        <v>3(2</v>
      </c>
      <c r="J203" s="8" t="str">
        <f t="shared" si="31"/>
        <v>5)</v>
      </c>
      <c r="K203" s="8" t="str">
        <f t="shared" si="32"/>
        <v>2-5)</v>
      </c>
    </row>
    <row r="204" spans="1:11">
      <c r="A204" s="3" t="s">
        <v>541</v>
      </c>
      <c r="B204" s="3" t="s">
        <v>542</v>
      </c>
      <c r="C204" s="3" t="s">
        <v>543</v>
      </c>
      <c r="D204" s="3" t="s">
        <v>169</v>
      </c>
      <c r="E204" s="9" t="str">
        <f t="shared" si="33"/>
        <v>2</v>
      </c>
      <c r="F204" s="11" t="str">
        <f t="shared" si="27"/>
        <v>1</v>
      </c>
      <c r="G204" s="10" t="str">
        <f t="shared" si="28"/>
        <v>2</v>
      </c>
      <c r="H204" s="2" t="str">
        <f t="shared" si="29"/>
        <v>3</v>
      </c>
      <c r="I204" s="8" t="str">
        <f t="shared" si="30"/>
        <v>2(1</v>
      </c>
      <c r="J204" s="8" t="str">
        <f t="shared" si="31"/>
        <v>3)</v>
      </c>
      <c r="K204" s="8" t="str">
        <f t="shared" si="32"/>
        <v>2-3)</v>
      </c>
    </row>
    <row r="205" spans="1:11">
      <c r="A205" s="3" t="s">
        <v>544</v>
      </c>
      <c r="B205" s="3" t="s">
        <v>545</v>
      </c>
      <c r="C205" s="3" t="s">
        <v>546</v>
      </c>
      <c r="D205" s="3" t="s">
        <v>18</v>
      </c>
      <c r="E205" s="9" t="str">
        <f t="shared" si="33"/>
        <v>3</v>
      </c>
      <c r="F205" s="11" t="str">
        <f t="shared" si="27"/>
        <v>2</v>
      </c>
      <c r="G205" s="10" t="str">
        <f t="shared" si="28"/>
        <v>2</v>
      </c>
      <c r="H205" s="2" t="str">
        <f t="shared" si="29"/>
        <v>5</v>
      </c>
      <c r="I205" s="8" t="str">
        <f t="shared" si="30"/>
        <v>3(2</v>
      </c>
      <c r="J205" s="8" t="str">
        <f t="shared" si="31"/>
        <v>5)</v>
      </c>
      <c r="K205" s="8" t="str">
        <f t="shared" si="32"/>
        <v>2-5)</v>
      </c>
    </row>
    <row r="206" spans="1:11">
      <c r="A206" s="3" t="s">
        <v>547</v>
      </c>
      <c r="B206" s="3" t="s">
        <v>548</v>
      </c>
      <c r="C206" s="3" t="s">
        <v>549</v>
      </c>
      <c r="D206" s="3" t="s">
        <v>18</v>
      </c>
      <c r="E206" s="9" t="str">
        <f t="shared" si="33"/>
        <v>3</v>
      </c>
      <c r="F206" s="11" t="str">
        <f t="shared" si="27"/>
        <v>2</v>
      </c>
      <c r="G206" s="10" t="str">
        <f t="shared" si="28"/>
        <v>2</v>
      </c>
      <c r="H206" s="2" t="str">
        <f t="shared" si="29"/>
        <v>5</v>
      </c>
      <c r="I206" s="8" t="str">
        <f t="shared" si="30"/>
        <v>3(2</v>
      </c>
      <c r="J206" s="8" t="str">
        <f t="shared" si="31"/>
        <v>5)</v>
      </c>
      <c r="K206" s="8" t="str">
        <f t="shared" si="32"/>
        <v>2-5)</v>
      </c>
    </row>
    <row r="207" spans="1:11">
      <c r="A207" s="3" t="s">
        <v>550</v>
      </c>
      <c r="B207" s="3" t="s">
        <v>551</v>
      </c>
      <c r="C207" s="3" t="s">
        <v>552</v>
      </c>
      <c r="D207" s="3" t="s">
        <v>553</v>
      </c>
      <c r="E207" s="9" t="str">
        <f t="shared" si="33"/>
        <v>1</v>
      </c>
      <c r="F207" s="11" t="str">
        <f t="shared" si="27"/>
        <v>1</v>
      </c>
      <c r="G207" s="10" t="str">
        <f t="shared" si="28"/>
        <v>0</v>
      </c>
      <c r="H207" s="2" t="str">
        <f t="shared" si="29"/>
        <v>2</v>
      </c>
      <c r="I207" s="8" t="str">
        <f t="shared" si="30"/>
        <v>1(1</v>
      </c>
      <c r="J207" s="8" t="str">
        <f t="shared" si="31"/>
        <v>2)</v>
      </c>
      <c r="K207" s="8" t="str">
        <f t="shared" si="32"/>
        <v>0-2)</v>
      </c>
    </row>
    <row r="208" spans="1:11" ht="43.5">
      <c r="A208" s="3" t="s">
        <v>554</v>
      </c>
      <c r="B208" s="3" t="s">
        <v>555</v>
      </c>
      <c r="C208" s="3" t="s">
        <v>556</v>
      </c>
      <c r="D208" s="3" t="s">
        <v>6</v>
      </c>
      <c r="E208" s="9" t="str">
        <f t="shared" si="33"/>
        <v>3</v>
      </c>
      <c r="F208" s="11" t="str">
        <f t="shared" si="27"/>
        <v>3</v>
      </c>
      <c r="G208" s="10" t="str">
        <f t="shared" si="28"/>
        <v>0</v>
      </c>
      <c r="H208" s="2" t="str">
        <f t="shared" si="29"/>
        <v>6</v>
      </c>
      <c r="I208" s="8" t="str">
        <f t="shared" si="30"/>
        <v>3(3</v>
      </c>
      <c r="J208" s="8" t="str">
        <f t="shared" si="31"/>
        <v>6)</v>
      </c>
      <c r="K208" s="8" t="str">
        <f t="shared" si="32"/>
        <v>0-6)</v>
      </c>
    </row>
    <row r="209" spans="1:11">
      <c r="A209" s="3" t="s">
        <v>557</v>
      </c>
      <c r="B209" s="3" t="s">
        <v>558</v>
      </c>
      <c r="C209" s="3" t="s">
        <v>559</v>
      </c>
      <c r="D209" s="3" t="s">
        <v>200</v>
      </c>
      <c r="E209" s="9" t="str">
        <f t="shared" si="33"/>
        <v>2</v>
      </c>
      <c r="F209" s="11" t="str">
        <f t="shared" si="27"/>
        <v>2</v>
      </c>
      <c r="G209" s="10" t="str">
        <f t="shared" si="28"/>
        <v>0</v>
      </c>
      <c r="H209" s="2" t="str">
        <f t="shared" si="29"/>
        <v>4</v>
      </c>
      <c r="I209" s="8" t="str">
        <f t="shared" si="30"/>
        <v>2(2</v>
      </c>
      <c r="J209" s="8" t="str">
        <f t="shared" si="31"/>
        <v>4)</v>
      </c>
      <c r="K209" s="8" t="str">
        <f t="shared" si="32"/>
        <v>0-4)</v>
      </c>
    </row>
    <row r="210" spans="1:11">
      <c r="A210" s="3" t="s">
        <v>560</v>
      </c>
      <c r="B210" s="3" t="s">
        <v>561</v>
      </c>
      <c r="C210" s="3" t="s">
        <v>562</v>
      </c>
      <c r="D210" s="3" t="s">
        <v>169</v>
      </c>
      <c r="E210" s="9" t="str">
        <f t="shared" si="33"/>
        <v>2</v>
      </c>
      <c r="F210" s="11" t="str">
        <f t="shared" si="27"/>
        <v>1</v>
      </c>
      <c r="G210" s="10" t="str">
        <f t="shared" si="28"/>
        <v>2</v>
      </c>
      <c r="H210" s="2" t="str">
        <f t="shared" si="29"/>
        <v>3</v>
      </c>
      <c r="I210" s="8" t="str">
        <f t="shared" si="30"/>
        <v>2(1</v>
      </c>
      <c r="J210" s="8" t="str">
        <f t="shared" si="31"/>
        <v>3)</v>
      </c>
      <c r="K210" s="8" t="str">
        <f t="shared" si="32"/>
        <v>2-3)</v>
      </c>
    </row>
    <row r="211" spans="1:11" ht="43.5">
      <c r="A211" s="3" t="s">
        <v>563</v>
      </c>
      <c r="B211" s="3" t="s">
        <v>564</v>
      </c>
      <c r="C211" s="3" t="s">
        <v>565</v>
      </c>
      <c r="D211" s="3" t="s">
        <v>553</v>
      </c>
      <c r="E211" s="9" t="str">
        <f t="shared" si="33"/>
        <v>1</v>
      </c>
      <c r="F211" s="11" t="str">
        <f t="shared" si="27"/>
        <v>1</v>
      </c>
      <c r="G211" s="10" t="str">
        <f t="shared" si="28"/>
        <v>0</v>
      </c>
      <c r="H211" s="2" t="str">
        <f t="shared" si="29"/>
        <v>2</v>
      </c>
      <c r="I211" s="8" t="str">
        <f t="shared" si="30"/>
        <v>1(1</v>
      </c>
      <c r="J211" s="8" t="str">
        <f t="shared" si="31"/>
        <v>2)</v>
      </c>
      <c r="K211" s="8" t="str">
        <f t="shared" si="32"/>
        <v>0-2)</v>
      </c>
    </row>
    <row r="212" spans="1:11">
      <c r="A212" s="3" t="s">
        <v>566</v>
      </c>
      <c r="B212" s="3" t="s">
        <v>567</v>
      </c>
      <c r="C212" s="3" t="s">
        <v>568</v>
      </c>
      <c r="D212" s="3" t="s">
        <v>200</v>
      </c>
      <c r="E212" s="9" t="str">
        <f t="shared" si="33"/>
        <v>2</v>
      </c>
      <c r="F212" s="11" t="str">
        <f t="shared" si="27"/>
        <v>2</v>
      </c>
      <c r="G212" s="10" t="str">
        <f t="shared" si="28"/>
        <v>0</v>
      </c>
      <c r="H212" s="2" t="str">
        <f t="shared" si="29"/>
        <v>4</v>
      </c>
      <c r="I212" s="8" t="str">
        <f t="shared" si="30"/>
        <v>2(2</v>
      </c>
      <c r="J212" s="8" t="str">
        <f t="shared" si="31"/>
        <v>4)</v>
      </c>
      <c r="K212" s="8" t="str">
        <f t="shared" si="32"/>
        <v>0-4)</v>
      </c>
    </row>
    <row r="213" spans="1:11">
      <c r="A213" s="3" t="s">
        <v>569</v>
      </c>
      <c r="B213" s="3" t="s">
        <v>570</v>
      </c>
      <c r="C213" s="3" t="s">
        <v>571</v>
      </c>
      <c r="D213" s="3" t="s">
        <v>572</v>
      </c>
      <c r="I213" s="2"/>
      <c r="J213" s="2"/>
      <c r="K213" s="2"/>
    </row>
    <row r="214" spans="1:11" ht="43.5">
      <c r="A214" s="3" t="s">
        <v>573</v>
      </c>
      <c r="B214" s="3" t="s">
        <v>574</v>
      </c>
      <c r="C214" s="3" t="s">
        <v>575</v>
      </c>
      <c r="D214" s="3" t="s">
        <v>576</v>
      </c>
      <c r="I214" s="2"/>
      <c r="J214" s="2"/>
      <c r="K214" s="2"/>
    </row>
    <row r="215" spans="1:11">
      <c r="A215" s="3" t="s">
        <v>479</v>
      </c>
      <c r="B215" s="3" t="s">
        <v>204</v>
      </c>
      <c r="C215" s="3" t="s">
        <v>205</v>
      </c>
      <c r="D215" s="3" t="s">
        <v>6</v>
      </c>
      <c r="E215" s="9" t="str">
        <f t="shared" si="33"/>
        <v>3</v>
      </c>
      <c r="F215" s="11" t="str">
        <f t="shared" si="27"/>
        <v>3</v>
      </c>
      <c r="G215" s="10" t="str">
        <f t="shared" si="28"/>
        <v>0</v>
      </c>
      <c r="H215" s="2" t="str">
        <f t="shared" si="29"/>
        <v>6</v>
      </c>
      <c r="I215" s="8" t="str">
        <f t="shared" si="30"/>
        <v>3(3</v>
      </c>
      <c r="J215" s="8" t="str">
        <f t="shared" si="31"/>
        <v>6)</v>
      </c>
      <c r="K215" s="8" t="str">
        <f t="shared" si="32"/>
        <v>0-6)</v>
      </c>
    </row>
    <row r="216" spans="1:11">
      <c r="A216" s="3" t="s">
        <v>736</v>
      </c>
      <c r="B216" s="3" t="s">
        <v>206</v>
      </c>
      <c r="C216" s="3" t="s">
        <v>207</v>
      </c>
      <c r="D216" s="3" t="s">
        <v>6</v>
      </c>
      <c r="E216" s="9" t="str">
        <f t="shared" si="33"/>
        <v>3</v>
      </c>
      <c r="F216" s="11" t="str">
        <f t="shared" si="27"/>
        <v>3</v>
      </c>
      <c r="G216" s="10" t="str">
        <f t="shared" si="28"/>
        <v>0</v>
      </c>
      <c r="H216" s="2" t="str">
        <f t="shared" si="29"/>
        <v>6</v>
      </c>
      <c r="I216" s="8" t="str">
        <f t="shared" si="30"/>
        <v>3(3</v>
      </c>
      <c r="J216" s="8" t="str">
        <f t="shared" si="31"/>
        <v>6)</v>
      </c>
      <c r="K216" s="8" t="str">
        <f t="shared" si="32"/>
        <v>0-6)</v>
      </c>
    </row>
    <row r="217" spans="1:11">
      <c r="A217" s="3" t="s">
        <v>737</v>
      </c>
      <c r="B217" s="3" t="s">
        <v>208</v>
      </c>
      <c r="C217" s="3" t="s">
        <v>209</v>
      </c>
      <c r="D217" s="3" t="s">
        <v>210</v>
      </c>
      <c r="E217" s="9" t="str">
        <f t="shared" si="33"/>
        <v>1</v>
      </c>
      <c r="F217" s="11" t="str">
        <f t="shared" si="27"/>
        <v>0</v>
      </c>
      <c r="G217" s="10" t="str">
        <f t="shared" si="28"/>
        <v>3</v>
      </c>
      <c r="H217" s="2" t="str">
        <f t="shared" si="29"/>
        <v>0</v>
      </c>
      <c r="I217" s="8" t="str">
        <f t="shared" si="30"/>
        <v>1(0</v>
      </c>
      <c r="J217" s="8" t="str">
        <f t="shared" si="31"/>
        <v>0)</v>
      </c>
      <c r="K217" s="8" t="str">
        <f t="shared" si="32"/>
        <v>3-0)</v>
      </c>
    </row>
    <row r="218" spans="1:11">
      <c r="A218" s="3" t="s">
        <v>738</v>
      </c>
      <c r="B218" s="3" t="s">
        <v>211</v>
      </c>
      <c r="C218" s="3" t="s">
        <v>212</v>
      </c>
      <c r="D218" s="3" t="s">
        <v>6</v>
      </c>
      <c r="E218" s="9" t="str">
        <f t="shared" si="33"/>
        <v>3</v>
      </c>
      <c r="F218" s="11" t="str">
        <f t="shared" si="27"/>
        <v>3</v>
      </c>
      <c r="G218" s="10" t="str">
        <f t="shared" si="28"/>
        <v>0</v>
      </c>
      <c r="H218" s="2" t="str">
        <f t="shared" si="29"/>
        <v>6</v>
      </c>
      <c r="I218" s="8" t="str">
        <f t="shared" si="30"/>
        <v>3(3</v>
      </c>
      <c r="J218" s="8" t="str">
        <f t="shared" si="31"/>
        <v>6)</v>
      </c>
      <c r="K218" s="8" t="str">
        <f t="shared" si="32"/>
        <v>0-6)</v>
      </c>
    </row>
    <row r="219" spans="1:11">
      <c r="A219" s="3" t="s">
        <v>739</v>
      </c>
      <c r="B219" s="3" t="s">
        <v>213</v>
      </c>
      <c r="C219" s="3" t="s">
        <v>214</v>
      </c>
      <c r="D219" s="3" t="s">
        <v>215</v>
      </c>
      <c r="E219" s="9" t="str">
        <f t="shared" si="33"/>
        <v>1</v>
      </c>
      <c r="F219" s="11" t="str">
        <f t="shared" si="27"/>
        <v>0</v>
      </c>
      <c r="G219" s="10" t="str">
        <f t="shared" si="28"/>
        <v>3</v>
      </c>
      <c r="H219" s="2" t="str">
        <f t="shared" si="29"/>
        <v>1</v>
      </c>
      <c r="I219" s="8" t="str">
        <f t="shared" si="30"/>
        <v>1(0</v>
      </c>
      <c r="J219" s="8" t="str">
        <f t="shared" si="31"/>
        <v>1)</v>
      </c>
      <c r="K219" s="8" t="str">
        <f t="shared" si="32"/>
        <v>3-1)</v>
      </c>
    </row>
    <row r="220" spans="1:11" ht="43.5">
      <c r="A220" s="3" t="s">
        <v>750</v>
      </c>
      <c r="B220" s="3" t="s">
        <v>242</v>
      </c>
      <c r="C220" s="3" t="s">
        <v>243</v>
      </c>
      <c r="D220" s="3" t="s">
        <v>18</v>
      </c>
      <c r="E220" s="9" t="str">
        <f t="shared" si="33"/>
        <v>3</v>
      </c>
      <c r="F220" s="11" t="str">
        <f t="shared" si="27"/>
        <v>2</v>
      </c>
      <c r="G220" s="10" t="str">
        <f t="shared" si="28"/>
        <v>2</v>
      </c>
      <c r="H220" s="2" t="str">
        <f t="shared" si="29"/>
        <v>5</v>
      </c>
      <c r="I220" s="8" t="str">
        <f t="shared" si="30"/>
        <v>3(2</v>
      </c>
      <c r="J220" s="8" t="str">
        <f t="shared" si="31"/>
        <v>5)</v>
      </c>
      <c r="K220" s="8" t="str">
        <f t="shared" si="32"/>
        <v>2-5)</v>
      </c>
    </row>
    <row r="221" spans="1:11" ht="43.5">
      <c r="A221" s="3" t="s">
        <v>749</v>
      </c>
      <c r="B221" s="3" t="s">
        <v>242</v>
      </c>
      <c r="C221" s="3" t="s">
        <v>243</v>
      </c>
      <c r="D221" s="3" t="s">
        <v>18</v>
      </c>
      <c r="E221" s="9" t="str">
        <f t="shared" si="33"/>
        <v>3</v>
      </c>
      <c r="F221" s="11" t="str">
        <f t="shared" si="27"/>
        <v>2</v>
      </c>
      <c r="G221" s="10" t="str">
        <f t="shared" si="28"/>
        <v>2</v>
      </c>
      <c r="H221" s="2" t="str">
        <f t="shared" si="29"/>
        <v>5</v>
      </c>
      <c r="I221" s="8" t="str">
        <f t="shared" si="30"/>
        <v>3(2</v>
      </c>
      <c r="J221" s="8" t="str">
        <f t="shared" si="31"/>
        <v>5)</v>
      </c>
      <c r="K221" s="8" t="str">
        <f t="shared" si="32"/>
        <v>2-5)</v>
      </c>
    </row>
    <row r="222" spans="1:11">
      <c r="A222" s="3" t="s">
        <v>219</v>
      </c>
      <c r="B222" s="3" t="s">
        <v>220</v>
      </c>
      <c r="C222" s="3" t="s">
        <v>221</v>
      </c>
      <c r="D222" s="3" t="s">
        <v>200</v>
      </c>
      <c r="E222" s="9" t="str">
        <f t="shared" si="33"/>
        <v>2</v>
      </c>
      <c r="F222" s="11" t="str">
        <f t="shared" si="27"/>
        <v>2</v>
      </c>
      <c r="G222" s="10" t="str">
        <f t="shared" si="28"/>
        <v>0</v>
      </c>
      <c r="H222" s="2" t="str">
        <f t="shared" si="29"/>
        <v>4</v>
      </c>
      <c r="I222" s="8" t="str">
        <f t="shared" si="30"/>
        <v>2(2</v>
      </c>
      <c r="J222" s="8" t="str">
        <f t="shared" si="31"/>
        <v>4)</v>
      </c>
      <c r="K222" s="8" t="str">
        <f t="shared" si="32"/>
        <v>0-4)</v>
      </c>
    </row>
    <row r="223" spans="1:11">
      <c r="A223" s="3" t="s">
        <v>222</v>
      </c>
      <c r="B223" s="3" t="s">
        <v>223</v>
      </c>
      <c r="C223" s="3"/>
      <c r="D223" s="3" t="s">
        <v>200</v>
      </c>
      <c r="E223" s="9" t="str">
        <f t="shared" si="33"/>
        <v>2</v>
      </c>
      <c r="F223" s="11" t="str">
        <f t="shared" ref="F223:F286" si="34">RIGHT(I223,1)</f>
        <v>2</v>
      </c>
      <c r="G223" s="10" t="str">
        <f t="shared" ref="G223:G286" si="35">LEFT(K223,1)</f>
        <v>0</v>
      </c>
      <c r="H223" s="2" t="str">
        <f t="shared" ref="H223:H286" si="36">LEFT(J223,1)</f>
        <v>4</v>
      </c>
      <c r="I223" s="8" t="str">
        <f t="shared" ref="I223:I286" si="37">LEFT(D223,3)</f>
        <v>2(2</v>
      </c>
      <c r="J223" s="8" t="str">
        <f t="shared" ref="J223:J286" si="38">RIGHT(D223,2)</f>
        <v>4)</v>
      </c>
      <c r="K223" s="8" t="str">
        <f t="shared" ref="K223:K286" si="39">RIGHT(D223,4)</f>
        <v>0-4)</v>
      </c>
    </row>
    <row r="224" spans="1:11">
      <c r="A224" s="3" t="s">
        <v>225</v>
      </c>
      <c r="B224" s="3" t="s">
        <v>226</v>
      </c>
      <c r="C224" s="3"/>
      <c r="D224" s="3" t="s">
        <v>200</v>
      </c>
      <c r="E224" s="9" t="str">
        <f t="shared" si="33"/>
        <v>2</v>
      </c>
      <c r="F224" s="11" t="str">
        <f t="shared" si="34"/>
        <v>2</v>
      </c>
      <c r="G224" s="10" t="str">
        <f t="shared" si="35"/>
        <v>0</v>
      </c>
      <c r="H224" s="2" t="str">
        <f t="shared" si="36"/>
        <v>4</v>
      </c>
      <c r="I224" s="8" t="str">
        <f t="shared" si="37"/>
        <v>2(2</v>
      </c>
      <c r="J224" s="8" t="str">
        <f t="shared" si="38"/>
        <v>4)</v>
      </c>
      <c r="K224" s="8" t="str">
        <f t="shared" si="39"/>
        <v>0-4)</v>
      </c>
    </row>
    <row r="225" spans="1:11">
      <c r="A225" s="3" t="s">
        <v>227</v>
      </c>
      <c r="B225" s="3" t="s">
        <v>577</v>
      </c>
      <c r="C225" s="3" t="s">
        <v>229</v>
      </c>
      <c r="D225" s="3" t="s">
        <v>6</v>
      </c>
      <c r="E225" s="9" t="str">
        <f t="shared" si="33"/>
        <v>3</v>
      </c>
      <c r="F225" s="11" t="str">
        <f t="shared" si="34"/>
        <v>3</v>
      </c>
      <c r="G225" s="10" t="str">
        <f t="shared" si="35"/>
        <v>0</v>
      </c>
      <c r="H225" s="2" t="str">
        <f t="shared" si="36"/>
        <v>6</v>
      </c>
      <c r="I225" s="8" t="str">
        <f t="shared" si="37"/>
        <v>3(3</v>
      </c>
      <c r="J225" s="8" t="str">
        <f t="shared" si="38"/>
        <v>6)</v>
      </c>
      <c r="K225" s="8" t="str">
        <f t="shared" si="39"/>
        <v>0-6)</v>
      </c>
    </row>
    <row r="226" spans="1:11">
      <c r="A226" s="3" t="s">
        <v>230</v>
      </c>
      <c r="B226" s="3" t="s">
        <v>231</v>
      </c>
      <c r="C226" s="3" t="s">
        <v>232</v>
      </c>
      <c r="D226" s="3" t="s">
        <v>6</v>
      </c>
      <c r="E226" s="9" t="str">
        <f t="shared" si="33"/>
        <v>3</v>
      </c>
      <c r="F226" s="11" t="str">
        <f t="shared" si="34"/>
        <v>3</v>
      </c>
      <c r="G226" s="10" t="str">
        <f t="shared" si="35"/>
        <v>0</v>
      </c>
      <c r="H226" s="2" t="str">
        <f t="shared" si="36"/>
        <v>6</v>
      </c>
      <c r="I226" s="8" t="str">
        <f t="shared" si="37"/>
        <v>3(3</v>
      </c>
      <c r="J226" s="8" t="str">
        <f t="shared" si="38"/>
        <v>6)</v>
      </c>
      <c r="K226" s="8" t="str">
        <f t="shared" si="39"/>
        <v>0-6)</v>
      </c>
    </row>
    <row r="227" spans="1:11">
      <c r="A227" s="3" t="s">
        <v>233</v>
      </c>
      <c r="B227" s="3" t="s">
        <v>234</v>
      </c>
      <c r="C227" s="3" t="s">
        <v>235</v>
      </c>
      <c r="D227" s="3" t="s">
        <v>215</v>
      </c>
      <c r="E227" s="9" t="str">
        <f t="shared" si="33"/>
        <v>1</v>
      </c>
      <c r="F227" s="11" t="str">
        <f t="shared" si="34"/>
        <v>0</v>
      </c>
      <c r="G227" s="10" t="str">
        <f t="shared" si="35"/>
        <v>3</v>
      </c>
      <c r="H227" s="2" t="str">
        <f t="shared" si="36"/>
        <v>1</v>
      </c>
      <c r="I227" s="8" t="str">
        <f t="shared" si="37"/>
        <v>1(0</v>
      </c>
      <c r="J227" s="8" t="str">
        <f t="shared" si="38"/>
        <v>1)</v>
      </c>
      <c r="K227" s="8" t="str">
        <f t="shared" si="39"/>
        <v>3-1)</v>
      </c>
    </row>
    <row r="228" spans="1:11">
      <c r="A228" s="3" t="s">
        <v>236</v>
      </c>
      <c r="B228" s="3" t="s">
        <v>578</v>
      </c>
      <c r="C228" s="3" t="s">
        <v>238</v>
      </c>
      <c r="D228" s="3" t="s">
        <v>6</v>
      </c>
      <c r="E228" s="9" t="str">
        <f t="shared" si="33"/>
        <v>3</v>
      </c>
      <c r="F228" s="11" t="str">
        <f t="shared" si="34"/>
        <v>3</v>
      </c>
      <c r="G228" s="10" t="str">
        <f t="shared" si="35"/>
        <v>0</v>
      </c>
      <c r="H228" s="2" t="str">
        <f t="shared" si="36"/>
        <v>6</v>
      </c>
      <c r="I228" s="8" t="str">
        <f t="shared" si="37"/>
        <v>3(3</v>
      </c>
      <c r="J228" s="8" t="str">
        <f t="shared" si="38"/>
        <v>6)</v>
      </c>
      <c r="K228" s="8" t="str">
        <f t="shared" si="39"/>
        <v>0-6)</v>
      </c>
    </row>
    <row r="229" spans="1:11">
      <c r="A229" s="3" t="s">
        <v>747</v>
      </c>
      <c r="B229" s="3" t="s">
        <v>239</v>
      </c>
      <c r="C229" s="3" t="s">
        <v>240</v>
      </c>
      <c r="D229" s="3" t="s">
        <v>18</v>
      </c>
      <c r="E229" s="9" t="str">
        <f t="shared" si="33"/>
        <v>3</v>
      </c>
      <c r="F229" s="11" t="str">
        <f t="shared" si="34"/>
        <v>2</v>
      </c>
      <c r="G229" s="10" t="str">
        <f t="shared" si="35"/>
        <v>2</v>
      </c>
      <c r="H229" s="2" t="str">
        <f t="shared" si="36"/>
        <v>5</v>
      </c>
      <c r="I229" s="8" t="str">
        <f t="shared" si="37"/>
        <v>3(2</v>
      </c>
      <c r="J229" s="8" t="str">
        <f t="shared" si="38"/>
        <v>5)</v>
      </c>
      <c r="K229" s="8" t="str">
        <f t="shared" si="39"/>
        <v>2-5)</v>
      </c>
    </row>
    <row r="230" spans="1:11">
      <c r="A230" s="3" t="s">
        <v>748</v>
      </c>
      <c r="B230" s="3" t="s">
        <v>239</v>
      </c>
      <c r="C230" s="3" t="s">
        <v>240</v>
      </c>
      <c r="D230" s="3" t="s">
        <v>18</v>
      </c>
      <c r="E230" s="9" t="str">
        <f t="shared" si="33"/>
        <v>3</v>
      </c>
      <c r="F230" s="11" t="str">
        <f t="shared" si="34"/>
        <v>2</v>
      </c>
      <c r="G230" s="10" t="str">
        <f t="shared" si="35"/>
        <v>2</v>
      </c>
      <c r="H230" s="2" t="str">
        <f t="shared" si="36"/>
        <v>5</v>
      </c>
      <c r="I230" s="8" t="str">
        <f t="shared" si="37"/>
        <v>3(2</v>
      </c>
      <c r="J230" s="8" t="str">
        <f t="shared" si="38"/>
        <v>5)</v>
      </c>
      <c r="K230" s="8" t="str">
        <f t="shared" si="39"/>
        <v>2-5)</v>
      </c>
    </row>
    <row r="231" spans="1:11">
      <c r="A231" s="3" t="s">
        <v>216</v>
      </c>
      <c r="B231" s="3" t="s">
        <v>735</v>
      </c>
      <c r="C231" s="3" t="s">
        <v>218</v>
      </c>
      <c r="D231" s="3" t="s">
        <v>18</v>
      </c>
      <c r="E231" s="9" t="str">
        <f t="shared" si="33"/>
        <v>3</v>
      </c>
      <c r="F231" s="11" t="str">
        <f t="shared" si="34"/>
        <v>2</v>
      </c>
      <c r="G231" s="10" t="str">
        <f t="shared" si="35"/>
        <v>2</v>
      </c>
      <c r="H231" s="2" t="str">
        <f t="shared" si="36"/>
        <v>5</v>
      </c>
      <c r="I231" s="8" t="str">
        <f t="shared" si="37"/>
        <v>3(2</v>
      </c>
      <c r="J231" s="8" t="str">
        <f t="shared" si="38"/>
        <v>5)</v>
      </c>
      <c r="K231" s="8" t="str">
        <f t="shared" si="39"/>
        <v>2-5)</v>
      </c>
    </row>
    <row r="232" spans="1:11">
      <c r="A232" s="3" t="s">
        <v>244</v>
      </c>
      <c r="B232" s="3" t="s">
        <v>245</v>
      </c>
      <c r="C232" s="3"/>
      <c r="D232" s="3" t="s">
        <v>224</v>
      </c>
      <c r="E232" s="9" t="str">
        <f t="shared" si="33"/>
        <v>2</v>
      </c>
      <c r="F232" s="11" t="str">
        <f t="shared" si="34"/>
        <v>ห</v>
      </c>
      <c r="G232" s="10" t="str">
        <f t="shared" si="35"/>
        <v>ย</v>
      </c>
      <c r="H232" s="2" t="str">
        <f t="shared" si="36"/>
        <v>ิ</v>
      </c>
      <c r="I232" s="8" t="str">
        <f t="shared" si="37"/>
        <v>2 ห</v>
      </c>
      <c r="J232" s="8" t="str">
        <f t="shared" si="38"/>
        <v>ิต</v>
      </c>
      <c r="K232" s="8" t="str">
        <f t="shared" si="39"/>
        <v>ยกิต</v>
      </c>
    </row>
    <row r="233" spans="1:11">
      <c r="A233" s="3" t="s">
        <v>246</v>
      </c>
      <c r="B233" s="3" t="s">
        <v>579</v>
      </c>
      <c r="C233" s="3" t="s">
        <v>580</v>
      </c>
      <c r="D233" s="3" t="s">
        <v>210</v>
      </c>
      <c r="E233" s="9" t="str">
        <f t="shared" si="33"/>
        <v>1</v>
      </c>
      <c r="F233" s="11" t="str">
        <f t="shared" si="34"/>
        <v>0</v>
      </c>
      <c r="G233" s="10" t="str">
        <f t="shared" si="35"/>
        <v>3</v>
      </c>
      <c r="H233" s="2" t="str">
        <f t="shared" si="36"/>
        <v>0</v>
      </c>
      <c r="I233" s="8" t="str">
        <f t="shared" si="37"/>
        <v>1(0</v>
      </c>
      <c r="J233" s="8" t="str">
        <f t="shared" si="38"/>
        <v>0)</v>
      </c>
      <c r="K233" s="8" t="str">
        <f t="shared" si="39"/>
        <v>3-0)</v>
      </c>
    </row>
    <row r="234" spans="1:11">
      <c r="A234" s="3" t="s">
        <v>249</v>
      </c>
      <c r="B234" s="3" t="s">
        <v>250</v>
      </c>
      <c r="C234" s="3" t="s">
        <v>251</v>
      </c>
      <c r="D234" s="3" t="s">
        <v>6</v>
      </c>
      <c r="E234" s="9" t="str">
        <f t="shared" si="33"/>
        <v>3</v>
      </c>
      <c r="F234" s="11" t="str">
        <f t="shared" si="34"/>
        <v>3</v>
      </c>
      <c r="G234" s="10" t="str">
        <f t="shared" si="35"/>
        <v>0</v>
      </c>
      <c r="H234" s="2" t="str">
        <f t="shared" si="36"/>
        <v>6</v>
      </c>
      <c r="I234" s="8" t="str">
        <f t="shared" si="37"/>
        <v>3(3</v>
      </c>
      <c r="J234" s="8" t="str">
        <f t="shared" si="38"/>
        <v>6)</v>
      </c>
      <c r="K234" s="8" t="str">
        <f t="shared" si="39"/>
        <v>0-6)</v>
      </c>
    </row>
    <row r="235" spans="1:11">
      <c r="A235" s="3" t="s">
        <v>751</v>
      </c>
      <c r="B235" s="3" t="s">
        <v>252</v>
      </c>
      <c r="C235" s="3" t="s">
        <v>253</v>
      </c>
      <c r="D235" s="3" t="s">
        <v>6</v>
      </c>
      <c r="E235" s="9" t="str">
        <f t="shared" si="33"/>
        <v>3</v>
      </c>
      <c r="F235" s="11" t="str">
        <f t="shared" si="34"/>
        <v>3</v>
      </c>
      <c r="G235" s="10" t="str">
        <f t="shared" si="35"/>
        <v>0</v>
      </c>
      <c r="H235" s="2" t="str">
        <f t="shared" si="36"/>
        <v>6</v>
      </c>
      <c r="I235" s="8" t="str">
        <f t="shared" si="37"/>
        <v>3(3</v>
      </c>
      <c r="J235" s="8" t="str">
        <f t="shared" si="38"/>
        <v>6)</v>
      </c>
      <c r="K235" s="8" t="str">
        <f t="shared" si="39"/>
        <v>0-6)</v>
      </c>
    </row>
    <row r="236" spans="1:11">
      <c r="A236" s="3" t="s">
        <v>395</v>
      </c>
      <c r="B236" s="3" t="s">
        <v>252</v>
      </c>
      <c r="C236" s="3" t="s">
        <v>253</v>
      </c>
      <c r="D236" s="3" t="s">
        <v>6</v>
      </c>
      <c r="E236" s="9" t="str">
        <f t="shared" si="33"/>
        <v>3</v>
      </c>
      <c r="F236" s="11" t="str">
        <f t="shared" si="34"/>
        <v>3</v>
      </c>
      <c r="G236" s="10" t="str">
        <f t="shared" si="35"/>
        <v>0</v>
      </c>
      <c r="H236" s="2" t="str">
        <f t="shared" si="36"/>
        <v>6</v>
      </c>
      <c r="I236" s="8" t="str">
        <f t="shared" si="37"/>
        <v>3(3</v>
      </c>
      <c r="J236" s="8" t="str">
        <f t="shared" si="38"/>
        <v>6)</v>
      </c>
      <c r="K236" s="8" t="str">
        <f t="shared" si="39"/>
        <v>0-6)</v>
      </c>
    </row>
    <row r="237" spans="1:11">
      <c r="A237" s="3" t="s">
        <v>752</v>
      </c>
      <c r="B237" s="3" t="s">
        <v>254</v>
      </c>
      <c r="C237" s="3" t="s">
        <v>255</v>
      </c>
      <c r="D237" s="3" t="s">
        <v>6</v>
      </c>
      <c r="E237" s="9" t="str">
        <f t="shared" si="33"/>
        <v>3</v>
      </c>
      <c r="F237" s="11" t="str">
        <f t="shared" si="34"/>
        <v>3</v>
      </c>
      <c r="G237" s="10" t="str">
        <f t="shared" si="35"/>
        <v>0</v>
      </c>
      <c r="H237" s="2" t="str">
        <f t="shared" si="36"/>
        <v>6</v>
      </c>
      <c r="I237" s="8" t="str">
        <f t="shared" si="37"/>
        <v>3(3</v>
      </c>
      <c r="J237" s="8" t="str">
        <f t="shared" si="38"/>
        <v>6)</v>
      </c>
      <c r="K237" s="8" t="str">
        <f t="shared" si="39"/>
        <v>0-6)</v>
      </c>
    </row>
    <row r="238" spans="1:11">
      <c r="A238" s="3" t="s">
        <v>753</v>
      </c>
      <c r="B238" s="3" t="s">
        <v>254</v>
      </c>
      <c r="C238" s="3" t="s">
        <v>255</v>
      </c>
      <c r="D238" s="3" t="s">
        <v>6</v>
      </c>
      <c r="E238" s="9" t="str">
        <f t="shared" si="33"/>
        <v>3</v>
      </c>
      <c r="F238" s="11" t="str">
        <f t="shared" si="34"/>
        <v>3</v>
      </c>
      <c r="G238" s="10" t="str">
        <f t="shared" si="35"/>
        <v>0</v>
      </c>
      <c r="H238" s="2" t="str">
        <f t="shared" si="36"/>
        <v>6</v>
      </c>
      <c r="I238" s="8" t="str">
        <f t="shared" si="37"/>
        <v>3(3</v>
      </c>
      <c r="J238" s="8" t="str">
        <f t="shared" si="38"/>
        <v>6)</v>
      </c>
      <c r="K238" s="8" t="str">
        <f t="shared" si="39"/>
        <v>0-6)</v>
      </c>
    </row>
    <row r="239" spans="1:11" ht="43.5">
      <c r="A239" s="3" t="s">
        <v>256</v>
      </c>
      <c r="B239" s="3" t="s">
        <v>257</v>
      </c>
      <c r="C239" s="3" t="s">
        <v>258</v>
      </c>
      <c r="D239" s="3" t="s">
        <v>18</v>
      </c>
      <c r="E239" s="9" t="str">
        <f t="shared" si="33"/>
        <v>3</v>
      </c>
      <c r="F239" s="11" t="str">
        <f t="shared" si="34"/>
        <v>2</v>
      </c>
      <c r="G239" s="10" t="str">
        <f t="shared" si="35"/>
        <v>2</v>
      </c>
      <c r="H239" s="2" t="str">
        <f t="shared" si="36"/>
        <v>5</v>
      </c>
      <c r="I239" s="8" t="str">
        <f t="shared" si="37"/>
        <v>3(2</v>
      </c>
      <c r="J239" s="8" t="str">
        <f t="shared" si="38"/>
        <v>5)</v>
      </c>
      <c r="K239" s="8" t="str">
        <f t="shared" si="39"/>
        <v>2-5)</v>
      </c>
    </row>
    <row r="240" spans="1:11" ht="43.5">
      <c r="A240" s="3" t="s">
        <v>259</v>
      </c>
      <c r="B240" s="3" t="s">
        <v>260</v>
      </c>
      <c r="C240" s="3" t="s">
        <v>261</v>
      </c>
      <c r="D240" s="3" t="s">
        <v>18</v>
      </c>
      <c r="E240" s="9" t="str">
        <f t="shared" si="33"/>
        <v>3</v>
      </c>
      <c r="F240" s="11" t="str">
        <f t="shared" si="34"/>
        <v>2</v>
      </c>
      <c r="G240" s="10" t="str">
        <f t="shared" si="35"/>
        <v>2</v>
      </c>
      <c r="H240" s="2" t="str">
        <f t="shared" si="36"/>
        <v>5</v>
      </c>
      <c r="I240" s="8" t="str">
        <f t="shared" si="37"/>
        <v>3(2</v>
      </c>
      <c r="J240" s="8" t="str">
        <f t="shared" si="38"/>
        <v>5)</v>
      </c>
      <c r="K240" s="8" t="str">
        <f t="shared" si="39"/>
        <v>2-5)</v>
      </c>
    </row>
    <row r="241" spans="1:11">
      <c r="A241" s="3" t="s">
        <v>262</v>
      </c>
      <c r="B241" s="3" t="s">
        <v>263</v>
      </c>
      <c r="C241" s="3" t="s">
        <v>264</v>
      </c>
      <c r="D241" s="3" t="s">
        <v>6</v>
      </c>
      <c r="E241" s="9" t="str">
        <f t="shared" si="33"/>
        <v>3</v>
      </c>
      <c r="F241" s="11" t="str">
        <f t="shared" si="34"/>
        <v>3</v>
      </c>
      <c r="G241" s="10" t="str">
        <f t="shared" si="35"/>
        <v>0</v>
      </c>
      <c r="H241" s="2" t="str">
        <f t="shared" si="36"/>
        <v>6</v>
      </c>
      <c r="I241" s="8" t="str">
        <f t="shared" si="37"/>
        <v>3(3</v>
      </c>
      <c r="J241" s="8" t="str">
        <f t="shared" si="38"/>
        <v>6)</v>
      </c>
      <c r="K241" s="8" t="str">
        <f t="shared" si="39"/>
        <v>0-6)</v>
      </c>
    </row>
    <row r="242" spans="1:11" ht="43.5">
      <c r="A242" s="3" t="s">
        <v>265</v>
      </c>
      <c r="B242" s="3" t="s">
        <v>266</v>
      </c>
      <c r="C242" s="3" t="s">
        <v>267</v>
      </c>
      <c r="D242" s="3" t="s">
        <v>6</v>
      </c>
      <c r="E242" s="9" t="str">
        <f t="shared" si="33"/>
        <v>3</v>
      </c>
      <c r="F242" s="11" t="str">
        <f t="shared" si="34"/>
        <v>3</v>
      </c>
      <c r="G242" s="10" t="str">
        <f t="shared" si="35"/>
        <v>0</v>
      </c>
      <c r="H242" s="2" t="str">
        <f t="shared" si="36"/>
        <v>6</v>
      </c>
      <c r="I242" s="8" t="str">
        <f t="shared" si="37"/>
        <v>3(3</v>
      </c>
      <c r="J242" s="8" t="str">
        <f t="shared" si="38"/>
        <v>6)</v>
      </c>
      <c r="K242" s="8" t="str">
        <f t="shared" si="39"/>
        <v>0-6)</v>
      </c>
    </row>
    <row r="243" spans="1:11">
      <c r="A243" s="3" t="s">
        <v>754</v>
      </c>
      <c r="B243" s="3" t="s">
        <v>268</v>
      </c>
      <c r="C243" s="3" t="s">
        <v>269</v>
      </c>
      <c r="D243" s="3" t="s">
        <v>6</v>
      </c>
      <c r="E243" s="9" t="str">
        <f t="shared" si="33"/>
        <v>3</v>
      </c>
      <c r="F243" s="11" t="str">
        <f t="shared" si="34"/>
        <v>3</v>
      </c>
      <c r="G243" s="10" t="str">
        <f t="shared" si="35"/>
        <v>0</v>
      </c>
      <c r="H243" s="2" t="str">
        <f t="shared" si="36"/>
        <v>6</v>
      </c>
      <c r="I243" s="8" t="str">
        <f t="shared" si="37"/>
        <v>3(3</v>
      </c>
      <c r="J243" s="8" t="str">
        <f t="shared" si="38"/>
        <v>6)</v>
      </c>
      <c r="K243" s="8" t="str">
        <f t="shared" si="39"/>
        <v>0-6)</v>
      </c>
    </row>
    <row r="244" spans="1:11">
      <c r="A244" s="3" t="s">
        <v>755</v>
      </c>
      <c r="B244" s="3" t="s">
        <v>268</v>
      </c>
      <c r="C244" s="3" t="s">
        <v>269</v>
      </c>
      <c r="D244" s="3" t="s">
        <v>6</v>
      </c>
      <c r="E244" s="9" t="str">
        <f t="shared" si="33"/>
        <v>3</v>
      </c>
      <c r="F244" s="11" t="str">
        <f t="shared" si="34"/>
        <v>3</v>
      </c>
      <c r="G244" s="10" t="str">
        <f t="shared" si="35"/>
        <v>0</v>
      </c>
      <c r="H244" s="2" t="str">
        <f t="shared" si="36"/>
        <v>6</v>
      </c>
      <c r="I244" s="8" t="str">
        <f t="shared" si="37"/>
        <v>3(3</v>
      </c>
      <c r="J244" s="8" t="str">
        <f t="shared" si="38"/>
        <v>6)</v>
      </c>
      <c r="K244" s="8" t="str">
        <f t="shared" si="39"/>
        <v>0-6)</v>
      </c>
    </row>
    <row r="245" spans="1:11">
      <c r="A245" s="3" t="s">
        <v>270</v>
      </c>
      <c r="B245" s="3" t="s">
        <v>271</v>
      </c>
      <c r="C245" s="3" t="s">
        <v>272</v>
      </c>
      <c r="D245" s="3" t="s">
        <v>18</v>
      </c>
      <c r="E245" s="9" t="str">
        <f t="shared" si="33"/>
        <v>3</v>
      </c>
      <c r="F245" s="11" t="str">
        <f t="shared" si="34"/>
        <v>2</v>
      </c>
      <c r="G245" s="10" t="str">
        <f t="shared" si="35"/>
        <v>2</v>
      </c>
      <c r="H245" s="2" t="str">
        <f t="shared" si="36"/>
        <v>5</v>
      </c>
      <c r="I245" s="8" t="str">
        <f t="shared" si="37"/>
        <v>3(2</v>
      </c>
      <c r="J245" s="8" t="str">
        <f t="shared" si="38"/>
        <v>5)</v>
      </c>
      <c r="K245" s="8" t="str">
        <f t="shared" si="39"/>
        <v>2-5)</v>
      </c>
    </row>
    <row r="246" spans="1:11">
      <c r="A246" s="3" t="s">
        <v>273</v>
      </c>
      <c r="B246" s="3" t="s">
        <v>274</v>
      </c>
      <c r="C246" s="3" t="s">
        <v>275</v>
      </c>
      <c r="D246" s="3" t="s">
        <v>18</v>
      </c>
      <c r="E246" s="9" t="str">
        <f t="shared" si="33"/>
        <v>3</v>
      </c>
      <c r="F246" s="11" t="str">
        <f t="shared" si="34"/>
        <v>2</v>
      </c>
      <c r="G246" s="10" t="str">
        <f t="shared" si="35"/>
        <v>2</v>
      </c>
      <c r="H246" s="2" t="str">
        <f t="shared" si="36"/>
        <v>5</v>
      </c>
      <c r="I246" s="8" t="str">
        <f t="shared" si="37"/>
        <v>3(2</v>
      </c>
      <c r="J246" s="8" t="str">
        <f t="shared" si="38"/>
        <v>5)</v>
      </c>
      <c r="K246" s="8" t="str">
        <f t="shared" si="39"/>
        <v>2-5)</v>
      </c>
    </row>
    <row r="247" spans="1:11">
      <c r="A247" s="3" t="s">
        <v>276</v>
      </c>
      <c r="B247" s="3" t="s">
        <v>277</v>
      </c>
      <c r="C247" s="3" t="s">
        <v>278</v>
      </c>
      <c r="D247" s="3" t="s">
        <v>6</v>
      </c>
      <c r="E247" s="9" t="str">
        <f t="shared" si="33"/>
        <v>3</v>
      </c>
      <c r="F247" s="11" t="str">
        <f t="shared" si="34"/>
        <v>3</v>
      </c>
      <c r="G247" s="10" t="str">
        <f t="shared" si="35"/>
        <v>0</v>
      </c>
      <c r="H247" s="2" t="str">
        <f t="shared" si="36"/>
        <v>6</v>
      </c>
      <c r="I247" s="8" t="str">
        <f t="shared" si="37"/>
        <v>3(3</v>
      </c>
      <c r="J247" s="8" t="str">
        <f t="shared" si="38"/>
        <v>6)</v>
      </c>
      <c r="K247" s="8" t="str">
        <f t="shared" si="39"/>
        <v>0-6)</v>
      </c>
    </row>
    <row r="248" spans="1:11">
      <c r="A248" s="3" t="s">
        <v>279</v>
      </c>
      <c r="B248" s="3" t="s">
        <v>280</v>
      </c>
      <c r="C248" s="3" t="s">
        <v>281</v>
      </c>
      <c r="D248" s="3" t="s">
        <v>200</v>
      </c>
      <c r="E248" s="9" t="str">
        <f t="shared" si="33"/>
        <v>2</v>
      </c>
      <c r="F248" s="11" t="str">
        <f t="shared" si="34"/>
        <v>2</v>
      </c>
      <c r="G248" s="10" t="str">
        <f t="shared" si="35"/>
        <v>0</v>
      </c>
      <c r="H248" s="2" t="str">
        <f t="shared" si="36"/>
        <v>4</v>
      </c>
      <c r="I248" s="8" t="str">
        <f t="shared" si="37"/>
        <v>2(2</v>
      </c>
      <c r="J248" s="8" t="str">
        <f t="shared" si="38"/>
        <v>4)</v>
      </c>
      <c r="K248" s="8" t="str">
        <f t="shared" si="39"/>
        <v>0-4)</v>
      </c>
    </row>
    <row r="249" spans="1:11">
      <c r="A249" s="3" t="s">
        <v>282</v>
      </c>
      <c r="B249" s="3" t="s">
        <v>283</v>
      </c>
      <c r="C249" s="3" t="s">
        <v>284</v>
      </c>
      <c r="D249" s="3" t="s">
        <v>18</v>
      </c>
      <c r="E249" s="9" t="str">
        <f t="shared" si="33"/>
        <v>3</v>
      </c>
      <c r="F249" s="11" t="str">
        <f t="shared" si="34"/>
        <v>2</v>
      </c>
      <c r="G249" s="10" t="str">
        <f t="shared" si="35"/>
        <v>2</v>
      </c>
      <c r="H249" s="2" t="str">
        <f t="shared" si="36"/>
        <v>5</v>
      </c>
      <c r="I249" s="8" t="str">
        <f t="shared" si="37"/>
        <v>3(2</v>
      </c>
      <c r="J249" s="8" t="str">
        <f t="shared" si="38"/>
        <v>5)</v>
      </c>
      <c r="K249" s="8" t="str">
        <f t="shared" si="39"/>
        <v>2-5)</v>
      </c>
    </row>
    <row r="250" spans="1:11" ht="43.5">
      <c r="A250" s="3" t="s">
        <v>285</v>
      </c>
      <c r="B250" s="3" t="s">
        <v>286</v>
      </c>
      <c r="C250" s="3" t="s">
        <v>287</v>
      </c>
      <c r="D250" s="3" t="s">
        <v>18</v>
      </c>
      <c r="E250" s="9" t="str">
        <f t="shared" si="33"/>
        <v>3</v>
      </c>
      <c r="F250" s="11" t="str">
        <f t="shared" si="34"/>
        <v>2</v>
      </c>
      <c r="G250" s="10" t="str">
        <f t="shared" si="35"/>
        <v>2</v>
      </c>
      <c r="H250" s="2" t="str">
        <f t="shared" si="36"/>
        <v>5</v>
      </c>
      <c r="I250" s="8" t="str">
        <f t="shared" si="37"/>
        <v>3(2</v>
      </c>
      <c r="J250" s="8" t="str">
        <f t="shared" si="38"/>
        <v>5)</v>
      </c>
      <c r="K250" s="8" t="str">
        <f t="shared" si="39"/>
        <v>2-5)</v>
      </c>
    </row>
    <row r="251" spans="1:11">
      <c r="A251" s="3" t="s">
        <v>288</v>
      </c>
      <c r="B251" s="3" t="s">
        <v>289</v>
      </c>
      <c r="C251" s="3" t="s">
        <v>290</v>
      </c>
      <c r="D251" s="3" t="s">
        <v>6</v>
      </c>
      <c r="E251" s="9" t="str">
        <f t="shared" si="33"/>
        <v>3</v>
      </c>
      <c r="F251" s="11" t="str">
        <f t="shared" si="34"/>
        <v>3</v>
      </c>
      <c r="G251" s="10" t="str">
        <f t="shared" si="35"/>
        <v>0</v>
      </c>
      <c r="H251" s="2" t="str">
        <f t="shared" si="36"/>
        <v>6</v>
      </c>
      <c r="I251" s="8" t="str">
        <f t="shared" si="37"/>
        <v>3(3</v>
      </c>
      <c r="J251" s="8" t="str">
        <f t="shared" si="38"/>
        <v>6)</v>
      </c>
      <c r="K251" s="8" t="str">
        <f t="shared" si="39"/>
        <v>0-6)</v>
      </c>
    </row>
    <row r="252" spans="1:11">
      <c r="A252" s="3" t="s">
        <v>291</v>
      </c>
      <c r="B252" s="3" t="s">
        <v>292</v>
      </c>
      <c r="C252" s="3" t="s">
        <v>293</v>
      </c>
      <c r="D252" s="3" t="s">
        <v>6</v>
      </c>
      <c r="E252" s="9" t="str">
        <f t="shared" si="33"/>
        <v>3</v>
      </c>
      <c r="F252" s="11" t="str">
        <f t="shared" si="34"/>
        <v>3</v>
      </c>
      <c r="G252" s="10" t="str">
        <f t="shared" si="35"/>
        <v>0</v>
      </c>
      <c r="H252" s="2" t="str">
        <f t="shared" si="36"/>
        <v>6</v>
      </c>
      <c r="I252" s="8" t="str">
        <f t="shared" si="37"/>
        <v>3(3</v>
      </c>
      <c r="J252" s="8" t="str">
        <f t="shared" si="38"/>
        <v>6)</v>
      </c>
      <c r="K252" s="8" t="str">
        <f t="shared" si="39"/>
        <v>0-6)</v>
      </c>
    </row>
    <row r="253" spans="1:11">
      <c r="A253" s="3" t="s">
        <v>294</v>
      </c>
      <c r="B253" s="3" t="s">
        <v>295</v>
      </c>
      <c r="C253" s="3" t="s">
        <v>296</v>
      </c>
      <c r="D253" s="3" t="s">
        <v>6</v>
      </c>
      <c r="E253" s="9" t="str">
        <f t="shared" si="33"/>
        <v>3</v>
      </c>
      <c r="F253" s="11" t="str">
        <f t="shared" si="34"/>
        <v>3</v>
      </c>
      <c r="G253" s="10" t="str">
        <f t="shared" si="35"/>
        <v>0</v>
      </c>
      <c r="H253" s="2" t="str">
        <f t="shared" si="36"/>
        <v>6</v>
      </c>
      <c r="I253" s="8" t="str">
        <f t="shared" si="37"/>
        <v>3(3</v>
      </c>
      <c r="J253" s="8" t="str">
        <f t="shared" si="38"/>
        <v>6)</v>
      </c>
      <c r="K253" s="8" t="str">
        <f t="shared" si="39"/>
        <v>0-6)</v>
      </c>
    </row>
    <row r="254" spans="1:11">
      <c r="A254" s="3" t="s">
        <v>297</v>
      </c>
      <c r="B254" s="3" t="s">
        <v>298</v>
      </c>
      <c r="C254" s="3" t="s">
        <v>299</v>
      </c>
      <c r="D254" s="3" t="s">
        <v>300</v>
      </c>
      <c r="I254" s="2"/>
      <c r="J254" s="2"/>
      <c r="K254" s="2"/>
    </row>
    <row r="255" spans="1:11">
      <c r="A255" s="3" t="s">
        <v>301</v>
      </c>
      <c r="B255" s="3" t="s">
        <v>302</v>
      </c>
      <c r="C255" s="3" t="s">
        <v>303</v>
      </c>
      <c r="D255" s="3" t="s">
        <v>6</v>
      </c>
      <c r="E255" s="9" t="str">
        <f t="shared" si="33"/>
        <v>3</v>
      </c>
      <c r="F255" s="11" t="str">
        <f t="shared" si="34"/>
        <v>3</v>
      </c>
      <c r="G255" s="10" t="str">
        <f t="shared" si="35"/>
        <v>0</v>
      </c>
      <c r="H255" s="2" t="str">
        <f t="shared" si="36"/>
        <v>6</v>
      </c>
      <c r="I255" s="8" t="str">
        <f t="shared" si="37"/>
        <v>3(3</v>
      </c>
      <c r="J255" s="8" t="str">
        <f t="shared" si="38"/>
        <v>6)</v>
      </c>
      <c r="K255" s="8" t="str">
        <f t="shared" si="39"/>
        <v>0-6)</v>
      </c>
    </row>
    <row r="256" spans="1:11">
      <c r="A256" s="3" t="s">
        <v>304</v>
      </c>
      <c r="B256" s="3" t="s">
        <v>305</v>
      </c>
      <c r="C256" s="3" t="s">
        <v>306</v>
      </c>
      <c r="D256" s="3" t="s">
        <v>18</v>
      </c>
      <c r="E256" s="9" t="str">
        <f t="shared" si="33"/>
        <v>3</v>
      </c>
      <c r="F256" s="11" t="str">
        <f t="shared" si="34"/>
        <v>2</v>
      </c>
      <c r="G256" s="10" t="str">
        <f t="shared" si="35"/>
        <v>2</v>
      </c>
      <c r="H256" s="2" t="str">
        <f t="shared" si="36"/>
        <v>5</v>
      </c>
      <c r="I256" s="8" t="str">
        <f t="shared" si="37"/>
        <v>3(2</v>
      </c>
      <c r="J256" s="8" t="str">
        <f t="shared" si="38"/>
        <v>5)</v>
      </c>
      <c r="K256" s="8" t="str">
        <f t="shared" si="39"/>
        <v>2-5)</v>
      </c>
    </row>
    <row r="257" spans="1:11">
      <c r="A257" s="3" t="s">
        <v>307</v>
      </c>
      <c r="B257" s="3" t="s">
        <v>308</v>
      </c>
      <c r="C257" s="3" t="s">
        <v>309</v>
      </c>
      <c r="D257" s="3" t="s">
        <v>6</v>
      </c>
      <c r="E257" s="9" t="str">
        <f t="shared" si="33"/>
        <v>3</v>
      </c>
      <c r="F257" s="11" t="str">
        <f t="shared" si="34"/>
        <v>3</v>
      </c>
      <c r="G257" s="10" t="str">
        <f t="shared" si="35"/>
        <v>0</v>
      </c>
      <c r="H257" s="2" t="str">
        <f t="shared" si="36"/>
        <v>6</v>
      </c>
      <c r="I257" s="8" t="str">
        <f t="shared" si="37"/>
        <v>3(3</v>
      </c>
      <c r="J257" s="8" t="str">
        <f t="shared" si="38"/>
        <v>6)</v>
      </c>
      <c r="K257" s="8" t="str">
        <f t="shared" si="39"/>
        <v>0-6)</v>
      </c>
    </row>
    <row r="258" spans="1:11">
      <c r="A258" s="3" t="s">
        <v>310</v>
      </c>
      <c r="B258" s="3" t="s">
        <v>311</v>
      </c>
      <c r="C258" s="3" t="s">
        <v>312</v>
      </c>
      <c r="D258" s="3" t="s">
        <v>18</v>
      </c>
      <c r="E258" s="9" t="str">
        <f t="shared" si="33"/>
        <v>3</v>
      </c>
      <c r="F258" s="11" t="str">
        <f t="shared" si="34"/>
        <v>2</v>
      </c>
      <c r="G258" s="10" t="str">
        <f t="shared" si="35"/>
        <v>2</v>
      </c>
      <c r="H258" s="2" t="str">
        <f t="shared" si="36"/>
        <v>5</v>
      </c>
      <c r="I258" s="8" t="str">
        <f t="shared" si="37"/>
        <v>3(2</v>
      </c>
      <c r="J258" s="8" t="str">
        <f t="shared" si="38"/>
        <v>5)</v>
      </c>
      <c r="K258" s="8" t="str">
        <f t="shared" si="39"/>
        <v>2-5)</v>
      </c>
    </row>
    <row r="259" spans="1:11">
      <c r="A259" s="3" t="s">
        <v>313</v>
      </c>
      <c r="B259" s="3" t="s">
        <v>314</v>
      </c>
      <c r="C259" s="3" t="s">
        <v>315</v>
      </c>
      <c r="D259" s="3" t="s">
        <v>210</v>
      </c>
      <c r="E259" s="9" t="str">
        <f t="shared" si="33"/>
        <v>1</v>
      </c>
      <c r="F259" s="11" t="str">
        <f t="shared" si="34"/>
        <v>0</v>
      </c>
      <c r="G259" s="10" t="str">
        <f t="shared" si="35"/>
        <v>3</v>
      </c>
      <c r="H259" s="2" t="str">
        <f t="shared" si="36"/>
        <v>0</v>
      </c>
      <c r="I259" s="8" t="str">
        <f t="shared" si="37"/>
        <v>1(0</v>
      </c>
      <c r="J259" s="8" t="str">
        <f t="shared" si="38"/>
        <v>0)</v>
      </c>
      <c r="K259" s="8" t="str">
        <f t="shared" si="39"/>
        <v>3-0)</v>
      </c>
    </row>
    <row r="260" spans="1:11">
      <c r="A260" s="3" t="s">
        <v>316</v>
      </c>
      <c r="B260" s="3" t="s">
        <v>581</v>
      </c>
      <c r="C260" s="3" t="s">
        <v>582</v>
      </c>
      <c r="D260" s="3" t="s">
        <v>200</v>
      </c>
      <c r="E260" s="9" t="str">
        <f t="shared" ref="E260:E323" si="40">LEFT(D260,1)</f>
        <v>2</v>
      </c>
      <c r="F260" s="11" t="str">
        <f t="shared" si="34"/>
        <v>2</v>
      </c>
      <c r="G260" s="10" t="str">
        <f t="shared" si="35"/>
        <v>0</v>
      </c>
      <c r="H260" s="2" t="str">
        <f t="shared" si="36"/>
        <v>4</v>
      </c>
      <c r="I260" s="8" t="str">
        <f t="shared" si="37"/>
        <v>2(2</v>
      </c>
      <c r="J260" s="8" t="str">
        <f t="shared" si="38"/>
        <v>4)</v>
      </c>
      <c r="K260" s="8" t="str">
        <f t="shared" si="39"/>
        <v>0-4)</v>
      </c>
    </row>
    <row r="261" spans="1:11">
      <c r="A261" s="3" t="s">
        <v>583</v>
      </c>
      <c r="B261" s="3" t="s">
        <v>319</v>
      </c>
      <c r="C261" s="3" t="s">
        <v>320</v>
      </c>
      <c r="D261" s="3" t="s">
        <v>200</v>
      </c>
      <c r="E261" s="9" t="str">
        <f t="shared" si="40"/>
        <v>2</v>
      </c>
      <c r="F261" s="11" t="str">
        <f t="shared" si="34"/>
        <v>2</v>
      </c>
      <c r="G261" s="10" t="str">
        <f t="shared" si="35"/>
        <v>0</v>
      </c>
      <c r="H261" s="2" t="str">
        <f t="shared" si="36"/>
        <v>4</v>
      </c>
      <c r="I261" s="8" t="str">
        <f t="shared" si="37"/>
        <v>2(2</v>
      </c>
      <c r="J261" s="8" t="str">
        <f t="shared" si="38"/>
        <v>4)</v>
      </c>
      <c r="K261" s="8" t="str">
        <f t="shared" si="39"/>
        <v>0-4)</v>
      </c>
    </row>
    <row r="262" spans="1:11">
      <c r="A262" s="3" t="s">
        <v>584</v>
      </c>
      <c r="B262" s="3" t="s">
        <v>321</v>
      </c>
      <c r="C262" s="3" t="s">
        <v>322</v>
      </c>
      <c r="D262" s="3" t="s">
        <v>200</v>
      </c>
      <c r="E262" s="9" t="str">
        <f t="shared" si="40"/>
        <v>2</v>
      </c>
      <c r="F262" s="11" t="str">
        <f t="shared" si="34"/>
        <v>2</v>
      </c>
      <c r="G262" s="10" t="str">
        <f t="shared" si="35"/>
        <v>0</v>
      </c>
      <c r="H262" s="2" t="str">
        <f t="shared" si="36"/>
        <v>4</v>
      </c>
      <c r="I262" s="8" t="str">
        <f t="shared" si="37"/>
        <v>2(2</v>
      </c>
      <c r="J262" s="8" t="str">
        <f t="shared" si="38"/>
        <v>4)</v>
      </c>
      <c r="K262" s="8" t="str">
        <f t="shared" si="39"/>
        <v>0-4)</v>
      </c>
    </row>
    <row r="263" spans="1:11">
      <c r="A263" s="3">
        <v>1407413</v>
      </c>
      <c r="B263" s="3" t="s">
        <v>323</v>
      </c>
      <c r="C263" s="3" t="s">
        <v>585</v>
      </c>
      <c r="D263" s="3" t="s">
        <v>200</v>
      </c>
      <c r="E263" s="9" t="str">
        <f t="shared" si="40"/>
        <v>2</v>
      </c>
      <c r="F263" s="11" t="str">
        <f t="shared" si="34"/>
        <v>2</v>
      </c>
      <c r="G263" s="10" t="str">
        <f t="shared" si="35"/>
        <v>0</v>
      </c>
      <c r="H263" s="2" t="str">
        <f t="shared" si="36"/>
        <v>4</v>
      </c>
      <c r="I263" s="8" t="str">
        <f t="shared" si="37"/>
        <v>2(2</v>
      </c>
      <c r="J263" s="8" t="str">
        <f t="shared" si="38"/>
        <v>4)</v>
      </c>
      <c r="K263" s="8" t="str">
        <f t="shared" si="39"/>
        <v>0-4)</v>
      </c>
    </row>
    <row r="264" spans="1:11">
      <c r="A264" s="3" t="s">
        <v>586</v>
      </c>
      <c r="B264" s="3" t="s">
        <v>326</v>
      </c>
      <c r="C264" s="3" t="s">
        <v>327</v>
      </c>
      <c r="D264" s="3" t="s">
        <v>200</v>
      </c>
      <c r="E264" s="9" t="str">
        <f t="shared" si="40"/>
        <v>2</v>
      </c>
      <c r="F264" s="11" t="str">
        <f t="shared" si="34"/>
        <v>2</v>
      </c>
      <c r="G264" s="10" t="str">
        <f t="shared" si="35"/>
        <v>0</v>
      </c>
      <c r="H264" s="2" t="str">
        <f t="shared" si="36"/>
        <v>4</v>
      </c>
      <c r="I264" s="8" t="str">
        <f t="shared" si="37"/>
        <v>2(2</v>
      </c>
      <c r="J264" s="8" t="str">
        <f t="shared" si="38"/>
        <v>4)</v>
      </c>
      <c r="K264" s="8" t="str">
        <f t="shared" si="39"/>
        <v>0-4)</v>
      </c>
    </row>
    <row r="265" spans="1:11">
      <c r="A265" s="3" t="s">
        <v>328</v>
      </c>
      <c r="B265" s="3" t="s">
        <v>329</v>
      </c>
      <c r="C265" s="3" t="s">
        <v>330</v>
      </c>
      <c r="D265" s="3" t="s">
        <v>331</v>
      </c>
      <c r="I265" s="2"/>
      <c r="J265" s="2"/>
      <c r="K265" s="2"/>
    </row>
    <row r="266" spans="1:11">
      <c r="A266" s="3" t="s">
        <v>332</v>
      </c>
      <c r="B266" s="3" t="s">
        <v>333</v>
      </c>
      <c r="C266" s="3" t="s">
        <v>334</v>
      </c>
      <c r="D266" s="3" t="s">
        <v>6</v>
      </c>
      <c r="E266" s="9" t="str">
        <f t="shared" si="40"/>
        <v>3</v>
      </c>
      <c r="F266" s="11" t="str">
        <f t="shared" si="34"/>
        <v>3</v>
      </c>
      <c r="G266" s="10" t="str">
        <f t="shared" si="35"/>
        <v>0</v>
      </c>
      <c r="H266" s="2" t="str">
        <f t="shared" si="36"/>
        <v>6</v>
      </c>
      <c r="I266" s="8" t="str">
        <f t="shared" si="37"/>
        <v>3(3</v>
      </c>
      <c r="J266" s="8" t="str">
        <f t="shared" si="38"/>
        <v>6)</v>
      </c>
      <c r="K266" s="8" t="str">
        <f t="shared" si="39"/>
        <v>0-6)</v>
      </c>
    </row>
    <row r="267" spans="1:11">
      <c r="A267" s="3" t="s">
        <v>587</v>
      </c>
      <c r="B267" s="3" t="s">
        <v>335</v>
      </c>
      <c r="C267" s="3" t="s">
        <v>336</v>
      </c>
      <c r="D267" s="3" t="s">
        <v>337</v>
      </c>
      <c r="E267" s="9" t="str">
        <f t="shared" si="40"/>
        <v>3</v>
      </c>
      <c r="F267" s="11" t="str">
        <f t="shared" si="34"/>
        <v>0</v>
      </c>
      <c r="G267" s="10" t="str">
        <f t="shared" si="35"/>
        <v>9</v>
      </c>
      <c r="H267" s="2" t="str">
        <f t="shared" si="36"/>
        <v>0</v>
      </c>
      <c r="I267" s="8" t="str">
        <f t="shared" si="37"/>
        <v>3(0</v>
      </c>
      <c r="J267" s="8" t="str">
        <f t="shared" si="38"/>
        <v>0)</v>
      </c>
      <c r="K267" s="8" t="str">
        <f t="shared" si="39"/>
        <v>9-0)</v>
      </c>
    </row>
    <row r="268" spans="1:11">
      <c r="A268" s="3" t="s">
        <v>338</v>
      </c>
      <c r="B268" s="3" t="s">
        <v>339</v>
      </c>
      <c r="C268" s="3" t="s">
        <v>340</v>
      </c>
      <c r="D268" s="3" t="s">
        <v>341</v>
      </c>
      <c r="I268" s="2"/>
      <c r="J268" s="2"/>
      <c r="K268" s="2"/>
    </row>
    <row r="269" spans="1:11">
      <c r="A269" s="3" t="s">
        <v>479</v>
      </c>
      <c r="B269" s="3" t="s">
        <v>588</v>
      </c>
      <c r="C269" s="3" t="s">
        <v>589</v>
      </c>
      <c r="D269" s="3" t="s">
        <v>6</v>
      </c>
      <c r="E269" s="9" t="str">
        <f t="shared" si="40"/>
        <v>3</v>
      </c>
      <c r="F269" s="11" t="str">
        <f t="shared" si="34"/>
        <v>3</v>
      </c>
      <c r="G269" s="10" t="str">
        <f t="shared" si="35"/>
        <v>0</v>
      </c>
      <c r="H269" s="2" t="str">
        <f t="shared" si="36"/>
        <v>6</v>
      </c>
      <c r="I269" s="8" t="str">
        <f t="shared" si="37"/>
        <v>3(3</v>
      </c>
      <c r="J269" s="8" t="str">
        <f t="shared" si="38"/>
        <v>6)</v>
      </c>
      <c r="K269" s="8" t="str">
        <f t="shared" si="39"/>
        <v>0-6)</v>
      </c>
    </row>
    <row r="270" spans="1:11">
      <c r="A270" s="3">
        <v>202100</v>
      </c>
      <c r="B270" s="3" t="s">
        <v>590</v>
      </c>
      <c r="C270" s="3" t="s">
        <v>207</v>
      </c>
      <c r="D270" s="3" t="s">
        <v>6</v>
      </c>
      <c r="E270" s="9" t="str">
        <f t="shared" si="40"/>
        <v>3</v>
      </c>
      <c r="F270" s="11" t="str">
        <f t="shared" si="34"/>
        <v>3</v>
      </c>
      <c r="G270" s="10" t="str">
        <f t="shared" si="35"/>
        <v>0</v>
      </c>
      <c r="H270" s="2" t="str">
        <f t="shared" si="36"/>
        <v>6</v>
      </c>
      <c r="I270" s="8" t="str">
        <f t="shared" si="37"/>
        <v>3(3</v>
      </c>
      <c r="J270" s="8" t="str">
        <f t="shared" si="38"/>
        <v>6)</v>
      </c>
      <c r="K270" s="8" t="str">
        <f t="shared" si="39"/>
        <v>0-6)</v>
      </c>
    </row>
    <row r="271" spans="1:11">
      <c r="A271" s="3">
        <v>202190</v>
      </c>
      <c r="B271" s="3" t="s">
        <v>208</v>
      </c>
      <c r="C271" s="3" t="s">
        <v>209</v>
      </c>
      <c r="D271" s="3" t="s">
        <v>210</v>
      </c>
      <c r="E271" s="9" t="str">
        <f t="shared" si="40"/>
        <v>1</v>
      </c>
      <c r="F271" s="11" t="str">
        <f t="shared" si="34"/>
        <v>0</v>
      </c>
      <c r="G271" s="10" t="str">
        <f t="shared" si="35"/>
        <v>3</v>
      </c>
      <c r="H271" s="2" t="str">
        <f t="shared" si="36"/>
        <v>0</v>
      </c>
      <c r="I271" s="8" t="str">
        <f t="shared" si="37"/>
        <v>1(0</v>
      </c>
      <c r="J271" s="8" t="str">
        <f t="shared" si="38"/>
        <v>0)</v>
      </c>
      <c r="K271" s="8" t="str">
        <f t="shared" si="39"/>
        <v>3-0)</v>
      </c>
    </row>
    <row r="272" spans="1:11" ht="43.5">
      <c r="A272" s="3" t="s">
        <v>241</v>
      </c>
      <c r="B272" s="3" t="s">
        <v>371</v>
      </c>
      <c r="C272" s="3" t="s">
        <v>243</v>
      </c>
      <c r="D272" s="3" t="s">
        <v>18</v>
      </c>
      <c r="E272" s="9" t="str">
        <f t="shared" si="40"/>
        <v>3</v>
      </c>
      <c r="F272" s="11" t="str">
        <f t="shared" si="34"/>
        <v>2</v>
      </c>
      <c r="G272" s="10" t="str">
        <f t="shared" si="35"/>
        <v>2</v>
      </c>
      <c r="H272" s="2" t="str">
        <f t="shared" si="36"/>
        <v>5</v>
      </c>
      <c r="I272" s="8" t="str">
        <f t="shared" si="37"/>
        <v>3(2</v>
      </c>
      <c r="J272" s="8" t="str">
        <f t="shared" si="38"/>
        <v>5)</v>
      </c>
      <c r="K272" s="8" t="str">
        <f t="shared" si="39"/>
        <v>2-5)</v>
      </c>
    </row>
    <row r="273" spans="1:11">
      <c r="A273" s="3" t="s">
        <v>230</v>
      </c>
      <c r="B273" s="3" t="s">
        <v>591</v>
      </c>
      <c r="C273" s="3" t="s">
        <v>592</v>
      </c>
      <c r="D273" s="3" t="s">
        <v>6</v>
      </c>
      <c r="E273" s="9" t="str">
        <f t="shared" si="40"/>
        <v>3</v>
      </c>
      <c r="F273" s="11" t="str">
        <f t="shared" si="34"/>
        <v>3</v>
      </c>
      <c r="G273" s="10" t="str">
        <f t="shared" si="35"/>
        <v>0</v>
      </c>
      <c r="H273" s="2" t="str">
        <f t="shared" si="36"/>
        <v>6</v>
      </c>
      <c r="I273" s="8" t="str">
        <f t="shared" si="37"/>
        <v>3(3</v>
      </c>
      <c r="J273" s="8" t="str">
        <f t="shared" si="38"/>
        <v>6)</v>
      </c>
      <c r="K273" s="8" t="str">
        <f t="shared" si="39"/>
        <v>0-6)</v>
      </c>
    </row>
    <row r="274" spans="1:11">
      <c r="A274" s="3" t="s">
        <v>233</v>
      </c>
      <c r="B274" s="3" t="s">
        <v>593</v>
      </c>
      <c r="C274" s="3" t="s">
        <v>594</v>
      </c>
      <c r="D274" s="3" t="s">
        <v>210</v>
      </c>
      <c r="E274" s="9" t="str">
        <f t="shared" si="40"/>
        <v>1</v>
      </c>
      <c r="F274" s="11" t="str">
        <f t="shared" si="34"/>
        <v>0</v>
      </c>
      <c r="G274" s="10" t="str">
        <f t="shared" si="35"/>
        <v>3</v>
      </c>
      <c r="H274" s="2" t="str">
        <f t="shared" si="36"/>
        <v>0</v>
      </c>
      <c r="I274" s="8" t="str">
        <f t="shared" si="37"/>
        <v>1(0</v>
      </c>
      <c r="J274" s="8" t="str">
        <f t="shared" si="38"/>
        <v>0)</v>
      </c>
      <c r="K274" s="8" t="str">
        <f t="shared" si="39"/>
        <v>3-0)</v>
      </c>
    </row>
    <row r="275" spans="1:11">
      <c r="A275" s="3" t="s">
        <v>595</v>
      </c>
      <c r="B275" s="3" t="s">
        <v>237</v>
      </c>
      <c r="C275" s="3" t="s">
        <v>238</v>
      </c>
      <c r="D275" s="3" t="s">
        <v>6</v>
      </c>
      <c r="E275" s="9" t="str">
        <f t="shared" si="40"/>
        <v>3</v>
      </c>
      <c r="F275" s="11" t="str">
        <f t="shared" si="34"/>
        <v>3</v>
      </c>
      <c r="G275" s="10" t="str">
        <f t="shared" si="35"/>
        <v>0</v>
      </c>
      <c r="H275" s="2" t="str">
        <f t="shared" si="36"/>
        <v>6</v>
      </c>
      <c r="I275" s="8" t="str">
        <f t="shared" si="37"/>
        <v>3(3</v>
      </c>
      <c r="J275" s="8" t="str">
        <f t="shared" si="38"/>
        <v>6)</v>
      </c>
      <c r="K275" s="8" t="str">
        <f t="shared" si="39"/>
        <v>0-6)</v>
      </c>
    </row>
    <row r="276" spans="1:11">
      <c r="A276" s="3" t="s">
        <v>216</v>
      </c>
      <c r="B276" s="3" t="s">
        <v>217</v>
      </c>
      <c r="C276" s="3" t="s">
        <v>218</v>
      </c>
      <c r="D276" s="3" t="s">
        <v>18</v>
      </c>
      <c r="E276" s="9" t="str">
        <f t="shared" si="40"/>
        <v>3</v>
      </c>
      <c r="F276" s="11" t="str">
        <f t="shared" si="34"/>
        <v>2</v>
      </c>
      <c r="G276" s="10" t="str">
        <f t="shared" si="35"/>
        <v>2</v>
      </c>
      <c r="H276" s="2" t="str">
        <f t="shared" si="36"/>
        <v>5</v>
      </c>
      <c r="I276" s="8" t="str">
        <f t="shared" si="37"/>
        <v>3(2</v>
      </c>
      <c r="J276" s="8" t="str">
        <f t="shared" si="38"/>
        <v>5)</v>
      </c>
      <c r="K276" s="8" t="str">
        <f t="shared" si="39"/>
        <v>2-5)</v>
      </c>
    </row>
    <row r="277" spans="1:11">
      <c r="A277" s="3" t="s">
        <v>249</v>
      </c>
      <c r="B277" s="3" t="s">
        <v>250</v>
      </c>
      <c r="C277" s="3" t="s">
        <v>596</v>
      </c>
      <c r="D277" s="3" t="s">
        <v>6</v>
      </c>
      <c r="E277" s="9" t="str">
        <f t="shared" si="40"/>
        <v>3</v>
      </c>
      <c r="F277" s="11" t="str">
        <f t="shared" si="34"/>
        <v>3</v>
      </c>
      <c r="G277" s="10" t="str">
        <f t="shared" si="35"/>
        <v>0</v>
      </c>
      <c r="H277" s="2" t="str">
        <f t="shared" si="36"/>
        <v>6</v>
      </c>
      <c r="I277" s="8" t="str">
        <f t="shared" si="37"/>
        <v>3(3</v>
      </c>
      <c r="J277" s="8" t="str">
        <f t="shared" si="38"/>
        <v>6)</v>
      </c>
      <c r="K277" s="8" t="str">
        <f t="shared" si="39"/>
        <v>0-6)</v>
      </c>
    </row>
    <row r="278" spans="1:11">
      <c r="A278" s="3" t="s">
        <v>246</v>
      </c>
      <c r="B278" s="3" t="s">
        <v>247</v>
      </c>
      <c r="C278" s="3" t="s">
        <v>580</v>
      </c>
      <c r="D278" s="3" t="s">
        <v>210</v>
      </c>
      <c r="E278" s="9" t="str">
        <f t="shared" si="40"/>
        <v>1</v>
      </c>
      <c r="F278" s="11" t="str">
        <f t="shared" si="34"/>
        <v>0</v>
      </c>
      <c r="G278" s="10" t="str">
        <f t="shared" si="35"/>
        <v>3</v>
      </c>
      <c r="H278" s="2" t="str">
        <f t="shared" si="36"/>
        <v>0</v>
      </c>
      <c r="I278" s="8" t="str">
        <f t="shared" si="37"/>
        <v>1(0</v>
      </c>
      <c r="J278" s="8" t="str">
        <f t="shared" si="38"/>
        <v>0)</v>
      </c>
      <c r="K278" s="8" t="str">
        <f t="shared" si="39"/>
        <v>3-0)</v>
      </c>
    </row>
    <row r="279" spans="1:11">
      <c r="A279" s="3" t="s">
        <v>398</v>
      </c>
      <c r="B279" s="3" t="s">
        <v>252</v>
      </c>
      <c r="C279" s="3" t="s">
        <v>253</v>
      </c>
      <c r="D279" s="3" t="s">
        <v>6</v>
      </c>
      <c r="E279" s="9" t="str">
        <f t="shared" si="40"/>
        <v>3</v>
      </c>
      <c r="F279" s="11" t="str">
        <f t="shared" si="34"/>
        <v>3</v>
      </c>
      <c r="G279" s="10" t="str">
        <f t="shared" si="35"/>
        <v>0</v>
      </c>
      <c r="H279" s="2" t="str">
        <f t="shared" si="36"/>
        <v>6</v>
      </c>
      <c r="I279" s="8" t="str">
        <f t="shared" si="37"/>
        <v>3(3</v>
      </c>
      <c r="J279" s="8" t="str">
        <f t="shared" si="38"/>
        <v>6)</v>
      </c>
      <c r="K279" s="8" t="str">
        <f t="shared" si="39"/>
        <v>0-6)</v>
      </c>
    </row>
    <row r="280" spans="1:11">
      <c r="A280" s="3" t="s">
        <v>402</v>
      </c>
      <c r="B280" s="3" t="s">
        <v>254</v>
      </c>
      <c r="C280" s="3" t="s">
        <v>255</v>
      </c>
      <c r="D280" s="3" t="s">
        <v>6</v>
      </c>
      <c r="E280" s="9" t="str">
        <f t="shared" si="40"/>
        <v>3</v>
      </c>
      <c r="F280" s="11" t="str">
        <f t="shared" si="34"/>
        <v>3</v>
      </c>
      <c r="G280" s="10" t="str">
        <f t="shared" si="35"/>
        <v>0</v>
      </c>
      <c r="H280" s="2" t="str">
        <f t="shared" si="36"/>
        <v>6</v>
      </c>
      <c r="I280" s="8" t="str">
        <f t="shared" si="37"/>
        <v>3(3</v>
      </c>
      <c r="J280" s="8" t="str">
        <f t="shared" si="38"/>
        <v>6)</v>
      </c>
      <c r="K280" s="8" t="str">
        <f t="shared" si="39"/>
        <v>0-6)</v>
      </c>
    </row>
    <row r="281" spans="1:11">
      <c r="A281" s="3" t="s">
        <v>411</v>
      </c>
      <c r="B281" s="3" t="s">
        <v>268</v>
      </c>
      <c r="C281" s="3" t="s">
        <v>269</v>
      </c>
      <c r="D281" s="3" t="s">
        <v>6</v>
      </c>
      <c r="E281" s="9" t="str">
        <f t="shared" si="40"/>
        <v>3</v>
      </c>
      <c r="F281" s="11" t="str">
        <f t="shared" si="34"/>
        <v>3</v>
      </c>
      <c r="G281" s="10" t="str">
        <f t="shared" si="35"/>
        <v>0</v>
      </c>
      <c r="H281" s="2" t="str">
        <f t="shared" si="36"/>
        <v>6</v>
      </c>
      <c r="I281" s="8" t="str">
        <f t="shared" si="37"/>
        <v>3(3</v>
      </c>
      <c r="J281" s="8" t="str">
        <f t="shared" si="38"/>
        <v>6)</v>
      </c>
      <c r="K281" s="8" t="str">
        <f t="shared" si="39"/>
        <v>0-6)</v>
      </c>
    </row>
    <row r="282" spans="1:11">
      <c r="A282" s="3" t="s">
        <v>597</v>
      </c>
      <c r="B282" s="3" t="s">
        <v>598</v>
      </c>
      <c r="C282" s="3" t="s">
        <v>599</v>
      </c>
      <c r="D282" s="3" t="s">
        <v>6</v>
      </c>
      <c r="E282" s="9" t="str">
        <f t="shared" si="40"/>
        <v>3</v>
      </c>
      <c r="F282" s="11" t="str">
        <f t="shared" si="34"/>
        <v>3</v>
      </c>
      <c r="G282" s="10" t="str">
        <f t="shared" si="35"/>
        <v>0</v>
      </c>
      <c r="H282" s="2" t="str">
        <f t="shared" si="36"/>
        <v>6</v>
      </c>
      <c r="I282" s="8" t="str">
        <f t="shared" si="37"/>
        <v>3(3</v>
      </c>
      <c r="J282" s="8" t="str">
        <f t="shared" si="38"/>
        <v>6)</v>
      </c>
      <c r="K282" s="8" t="str">
        <f t="shared" si="39"/>
        <v>0-6)</v>
      </c>
    </row>
    <row r="283" spans="1:11">
      <c r="A283" s="3" t="s">
        <v>262</v>
      </c>
      <c r="B283" s="3" t="s">
        <v>263</v>
      </c>
      <c r="C283" s="3" t="s">
        <v>264</v>
      </c>
      <c r="D283" s="3" t="s">
        <v>6</v>
      </c>
      <c r="E283" s="9" t="str">
        <f t="shared" si="40"/>
        <v>3</v>
      </c>
      <c r="F283" s="11" t="str">
        <f t="shared" si="34"/>
        <v>3</v>
      </c>
      <c r="G283" s="10" t="str">
        <f t="shared" si="35"/>
        <v>0</v>
      </c>
      <c r="H283" s="2" t="str">
        <f t="shared" si="36"/>
        <v>6</v>
      </c>
      <c r="I283" s="8" t="str">
        <f t="shared" si="37"/>
        <v>3(3</v>
      </c>
      <c r="J283" s="8" t="str">
        <f t="shared" si="38"/>
        <v>6)</v>
      </c>
      <c r="K283" s="8" t="str">
        <f t="shared" si="39"/>
        <v>0-6)</v>
      </c>
    </row>
    <row r="284" spans="1:11">
      <c r="A284" s="3" t="s">
        <v>413</v>
      </c>
      <c r="B284" s="3" t="s">
        <v>414</v>
      </c>
      <c r="C284" s="3" t="s">
        <v>415</v>
      </c>
      <c r="D284" s="3" t="s">
        <v>6</v>
      </c>
      <c r="E284" s="9" t="str">
        <f t="shared" si="40"/>
        <v>3</v>
      </c>
      <c r="F284" s="11" t="str">
        <f t="shared" si="34"/>
        <v>3</v>
      </c>
      <c r="G284" s="10" t="str">
        <f t="shared" si="35"/>
        <v>0</v>
      </c>
      <c r="H284" s="2" t="str">
        <f t="shared" si="36"/>
        <v>6</v>
      </c>
      <c r="I284" s="8" t="str">
        <f t="shared" si="37"/>
        <v>3(3</v>
      </c>
      <c r="J284" s="8" t="str">
        <f t="shared" si="38"/>
        <v>6)</v>
      </c>
      <c r="K284" s="8" t="str">
        <f t="shared" si="39"/>
        <v>0-6)</v>
      </c>
    </row>
    <row r="285" spans="1:11">
      <c r="A285" s="3" t="s">
        <v>600</v>
      </c>
      <c r="B285" s="3" t="s">
        <v>601</v>
      </c>
      <c r="C285" s="3" t="s">
        <v>602</v>
      </c>
      <c r="D285" s="3" t="s">
        <v>200</v>
      </c>
      <c r="E285" s="9" t="str">
        <f t="shared" si="40"/>
        <v>2</v>
      </c>
      <c r="F285" s="11" t="str">
        <f t="shared" si="34"/>
        <v>2</v>
      </c>
      <c r="G285" s="10" t="str">
        <f t="shared" si="35"/>
        <v>0</v>
      </c>
      <c r="H285" s="2" t="str">
        <f t="shared" si="36"/>
        <v>4</v>
      </c>
      <c r="I285" s="8" t="str">
        <f t="shared" si="37"/>
        <v>2(2</v>
      </c>
      <c r="J285" s="8" t="str">
        <f t="shared" si="38"/>
        <v>4)</v>
      </c>
      <c r="K285" s="8" t="str">
        <f t="shared" si="39"/>
        <v>0-4)</v>
      </c>
    </row>
    <row r="286" spans="1:11">
      <c r="A286" s="3" t="s">
        <v>603</v>
      </c>
      <c r="B286" s="3" t="s">
        <v>604</v>
      </c>
      <c r="C286" s="3" t="s">
        <v>605</v>
      </c>
      <c r="D286" s="3" t="s">
        <v>6</v>
      </c>
      <c r="E286" s="9" t="str">
        <f t="shared" si="40"/>
        <v>3</v>
      </c>
      <c r="F286" s="11" t="str">
        <f t="shared" si="34"/>
        <v>3</v>
      </c>
      <c r="G286" s="10" t="str">
        <f t="shared" si="35"/>
        <v>0</v>
      </c>
      <c r="H286" s="2" t="str">
        <f t="shared" si="36"/>
        <v>6</v>
      </c>
      <c r="I286" s="8" t="str">
        <f t="shared" si="37"/>
        <v>3(3</v>
      </c>
      <c r="J286" s="8" t="str">
        <f t="shared" si="38"/>
        <v>6)</v>
      </c>
      <c r="K286" s="8" t="str">
        <f t="shared" si="39"/>
        <v>0-6)</v>
      </c>
    </row>
    <row r="287" spans="1:11">
      <c r="A287" s="3" t="s">
        <v>606</v>
      </c>
      <c r="B287" s="3" t="s">
        <v>607</v>
      </c>
      <c r="C287" s="3" t="s">
        <v>608</v>
      </c>
      <c r="D287" s="3" t="s">
        <v>6</v>
      </c>
      <c r="E287" s="9" t="str">
        <f t="shared" si="40"/>
        <v>3</v>
      </c>
      <c r="F287" s="11" t="str">
        <f t="shared" ref="F287:F350" si="41">RIGHT(I287,1)</f>
        <v>3</v>
      </c>
      <c r="G287" s="10" t="str">
        <f t="shared" ref="G287:G350" si="42">LEFT(K287,1)</f>
        <v>0</v>
      </c>
      <c r="H287" s="2" t="str">
        <f t="shared" ref="H287:H350" si="43">LEFT(J287,1)</f>
        <v>6</v>
      </c>
      <c r="I287" s="8" t="str">
        <f t="shared" ref="I287:I350" si="44">LEFT(D287,3)</f>
        <v>3(3</v>
      </c>
      <c r="J287" s="8" t="str">
        <f t="shared" ref="J287:J350" si="45">RIGHT(D287,2)</f>
        <v>6)</v>
      </c>
      <c r="K287" s="8" t="str">
        <f t="shared" ref="K287:K350" si="46">RIGHT(D287,4)</f>
        <v>0-6)</v>
      </c>
    </row>
    <row r="288" spans="1:11">
      <c r="A288" s="3" t="s">
        <v>445</v>
      </c>
      <c r="B288" s="3" t="s">
        <v>519</v>
      </c>
      <c r="C288" s="3" t="s">
        <v>447</v>
      </c>
      <c r="D288" s="3" t="s">
        <v>6</v>
      </c>
      <c r="E288" s="9" t="str">
        <f t="shared" si="40"/>
        <v>3</v>
      </c>
      <c r="F288" s="11" t="str">
        <f t="shared" si="41"/>
        <v>3</v>
      </c>
      <c r="G288" s="10" t="str">
        <f t="shared" si="42"/>
        <v>0</v>
      </c>
      <c r="H288" s="2" t="str">
        <f t="shared" si="43"/>
        <v>6</v>
      </c>
      <c r="I288" s="8" t="str">
        <f t="shared" si="44"/>
        <v>3(3</v>
      </c>
      <c r="J288" s="8" t="str">
        <f t="shared" si="45"/>
        <v>6)</v>
      </c>
      <c r="K288" s="8" t="str">
        <f t="shared" si="46"/>
        <v>0-6)</v>
      </c>
    </row>
    <row r="289" spans="1:11">
      <c r="A289" s="3" t="s">
        <v>609</v>
      </c>
      <c r="B289" s="3" t="s">
        <v>610</v>
      </c>
      <c r="C289" s="3" t="s">
        <v>611</v>
      </c>
      <c r="D289" s="3" t="s">
        <v>6</v>
      </c>
      <c r="E289" s="9" t="str">
        <f t="shared" si="40"/>
        <v>3</v>
      </c>
      <c r="F289" s="11" t="str">
        <f t="shared" si="41"/>
        <v>3</v>
      </c>
      <c r="G289" s="10" t="str">
        <f t="shared" si="42"/>
        <v>0</v>
      </c>
      <c r="H289" s="2" t="str">
        <f t="shared" si="43"/>
        <v>6</v>
      </c>
      <c r="I289" s="8" t="str">
        <f t="shared" si="44"/>
        <v>3(3</v>
      </c>
      <c r="J289" s="8" t="str">
        <f t="shared" si="45"/>
        <v>6)</v>
      </c>
      <c r="K289" s="8" t="str">
        <f t="shared" si="46"/>
        <v>0-6)</v>
      </c>
    </row>
    <row r="290" spans="1:11">
      <c r="A290" s="3" t="s">
        <v>297</v>
      </c>
      <c r="B290" s="3" t="s">
        <v>298</v>
      </c>
      <c r="C290" s="3" t="s">
        <v>299</v>
      </c>
      <c r="D290" s="3" t="s">
        <v>300</v>
      </c>
      <c r="I290" s="2"/>
      <c r="J290" s="2"/>
      <c r="K290" s="2"/>
    </row>
    <row r="291" spans="1:11" ht="43.5">
      <c r="A291" s="3" t="s">
        <v>612</v>
      </c>
      <c r="B291" s="3" t="s">
        <v>613</v>
      </c>
      <c r="C291" s="3" t="s">
        <v>614</v>
      </c>
      <c r="D291" s="3" t="s">
        <v>169</v>
      </c>
      <c r="E291" s="9" t="str">
        <f t="shared" si="40"/>
        <v>2</v>
      </c>
      <c r="F291" s="11" t="str">
        <f t="shared" si="41"/>
        <v>1</v>
      </c>
      <c r="G291" s="10" t="str">
        <f t="shared" si="42"/>
        <v>2</v>
      </c>
      <c r="H291" s="2" t="str">
        <f t="shared" si="43"/>
        <v>3</v>
      </c>
      <c r="I291" s="8" t="str">
        <f t="shared" si="44"/>
        <v>2(1</v>
      </c>
      <c r="J291" s="8" t="str">
        <f t="shared" si="45"/>
        <v>3)</v>
      </c>
      <c r="K291" s="8" t="str">
        <f t="shared" si="46"/>
        <v>2-3)</v>
      </c>
    </row>
    <row r="292" spans="1:11">
      <c r="A292" s="3" t="s">
        <v>615</v>
      </c>
      <c r="B292" s="3" t="s">
        <v>741</v>
      </c>
      <c r="C292" s="3" t="s">
        <v>156</v>
      </c>
      <c r="D292" s="3" t="s">
        <v>18</v>
      </c>
      <c r="E292" s="9" t="str">
        <f t="shared" si="40"/>
        <v>3</v>
      </c>
      <c r="F292" s="11" t="str">
        <f t="shared" si="41"/>
        <v>2</v>
      </c>
      <c r="G292" s="10" t="str">
        <f t="shared" si="42"/>
        <v>2</v>
      </c>
      <c r="H292" s="2" t="str">
        <f t="shared" si="43"/>
        <v>5</v>
      </c>
      <c r="I292" s="8" t="str">
        <f t="shared" si="44"/>
        <v>3(2</v>
      </c>
      <c r="J292" s="8" t="str">
        <f t="shared" si="45"/>
        <v>5)</v>
      </c>
      <c r="K292" s="8" t="str">
        <f t="shared" si="46"/>
        <v>2-5)</v>
      </c>
    </row>
    <row r="293" spans="1:11">
      <c r="A293" s="3" t="s">
        <v>616</v>
      </c>
      <c r="B293" s="3" t="s">
        <v>742</v>
      </c>
      <c r="C293" s="3" t="s">
        <v>617</v>
      </c>
      <c r="D293" s="3" t="s">
        <v>6</v>
      </c>
      <c r="E293" s="9" t="str">
        <f t="shared" si="40"/>
        <v>3</v>
      </c>
      <c r="F293" s="11" t="str">
        <f t="shared" si="41"/>
        <v>3</v>
      </c>
      <c r="G293" s="10" t="str">
        <f t="shared" si="42"/>
        <v>0</v>
      </c>
      <c r="H293" s="2" t="str">
        <f t="shared" si="43"/>
        <v>6</v>
      </c>
      <c r="I293" s="8" t="str">
        <f t="shared" si="44"/>
        <v>3(3</v>
      </c>
      <c r="J293" s="8" t="str">
        <f t="shared" si="45"/>
        <v>6)</v>
      </c>
      <c r="K293" s="8" t="str">
        <f t="shared" si="46"/>
        <v>0-6)</v>
      </c>
    </row>
    <row r="294" spans="1:11">
      <c r="A294" s="3" t="s">
        <v>618</v>
      </c>
      <c r="B294" s="3" t="s">
        <v>743</v>
      </c>
      <c r="C294" s="3" t="s">
        <v>619</v>
      </c>
      <c r="D294" s="3" t="s">
        <v>6</v>
      </c>
      <c r="E294" s="9" t="str">
        <f t="shared" si="40"/>
        <v>3</v>
      </c>
      <c r="F294" s="11" t="str">
        <f t="shared" si="41"/>
        <v>3</v>
      </c>
      <c r="G294" s="10" t="str">
        <f t="shared" si="42"/>
        <v>0</v>
      </c>
      <c r="H294" s="2" t="str">
        <f t="shared" si="43"/>
        <v>6</v>
      </c>
      <c r="I294" s="8" t="str">
        <f t="shared" si="44"/>
        <v>3(3</v>
      </c>
      <c r="J294" s="8" t="str">
        <f t="shared" si="45"/>
        <v>6)</v>
      </c>
      <c r="K294" s="8" t="str">
        <f t="shared" si="46"/>
        <v>0-6)</v>
      </c>
    </row>
    <row r="295" spans="1:11">
      <c r="A295" s="3" t="s">
        <v>620</v>
      </c>
      <c r="B295" s="3" t="s">
        <v>621</v>
      </c>
      <c r="C295" s="3" t="s">
        <v>622</v>
      </c>
      <c r="D295" s="3" t="s">
        <v>6</v>
      </c>
      <c r="E295" s="9" t="str">
        <f t="shared" si="40"/>
        <v>3</v>
      </c>
      <c r="F295" s="11" t="str">
        <f t="shared" si="41"/>
        <v>3</v>
      </c>
      <c r="G295" s="10" t="str">
        <f t="shared" si="42"/>
        <v>0</v>
      </c>
      <c r="H295" s="2" t="str">
        <f t="shared" si="43"/>
        <v>6</v>
      </c>
      <c r="I295" s="8" t="str">
        <f t="shared" si="44"/>
        <v>3(3</v>
      </c>
      <c r="J295" s="8" t="str">
        <f t="shared" si="45"/>
        <v>6)</v>
      </c>
      <c r="K295" s="8" t="str">
        <f t="shared" si="46"/>
        <v>0-6)</v>
      </c>
    </row>
    <row r="296" spans="1:11">
      <c r="A296" s="3" t="s">
        <v>461</v>
      </c>
      <c r="B296" s="3" t="s">
        <v>623</v>
      </c>
      <c r="C296" s="3" t="s">
        <v>463</v>
      </c>
      <c r="D296" s="3" t="s">
        <v>6</v>
      </c>
      <c r="E296" s="9" t="str">
        <f t="shared" si="40"/>
        <v>3</v>
      </c>
      <c r="F296" s="11" t="str">
        <f t="shared" si="41"/>
        <v>3</v>
      </c>
      <c r="G296" s="10" t="str">
        <f t="shared" si="42"/>
        <v>0</v>
      </c>
      <c r="H296" s="2" t="str">
        <f t="shared" si="43"/>
        <v>6</v>
      </c>
      <c r="I296" s="8" t="str">
        <f t="shared" si="44"/>
        <v>3(3</v>
      </c>
      <c r="J296" s="8" t="str">
        <f t="shared" si="45"/>
        <v>6)</v>
      </c>
      <c r="K296" s="8" t="str">
        <f t="shared" si="46"/>
        <v>0-6)</v>
      </c>
    </row>
    <row r="297" spans="1:11">
      <c r="A297" s="3" t="s">
        <v>624</v>
      </c>
      <c r="B297" s="3" t="s">
        <v>625</v>
      </c>
      <c r="C297" s="3" t="s">
        <v>626</v>
      </c>
      <c r="D297" s="3" t="s">
        <v>6</v>
      </c>
      <c r="E297" s="9" t="str">
        <f t="shared" si="40"/>
        <v>3</v>
      </c>
      <c r="F297" s="11" t="str">
        <f t="shared" si="41"/>
        <v>3</v>
      </c>
      <c r="G297" s="10" t="str">
        <f t="shared" si="42"/>
        <v>0</v>
      </c>
      <c r="H297" s="2" t="str">
        <f t="shared" si="43"/>
        <v>6</v>
      </c>
      <c r="I297" s="8" t="str">
        <f t="shared" si="44"/>
        <v>3(3</v>
      </c>
      <c r="J297" s="8" t="str">
        <f t="shared" si="45"/>
        <v>6)</v>
      </c>
      <c r="K297" s="8" t="str">
        <f t="shared" si="46"/>
        <v>0-6)</v>
      </c>
    </row>
    <row r="298" spans="1:11">
      <c r="A298" s="3" t="s">
        <v>627</v>
      </c>
      <c r="B298" s="3" t="s">
        <v>628</v>
      </c>
      <c r="C298" s="3" t="s">
        <v>629</v>
      </c>
      <c r="D298" s="3" t="s">
        <v>18</v>
      </c>
      <c r="E298" s="9" t="str">
        <f t="shared" si="40"/>
        <v>3</v>
      </c>
      <c r="F298" s="11" t="str">
        <f t="shared" si="41"/>
        <v>2</v>
      </c>
      <c r="G298" s="10" t="str">
        <f t="shared" si="42"/>
        <v>2</v>
      </c>
      <c r="H298" s="2" t="str">
        <f t="shared" si="43"/>
        <v>5</v>
      </c>
      <c r="I298" s="8" t="str">
        <f t="shared" si="44"/>
        <v>3(2</v>
      </c>
      <c r="J298" s="8" t="str">
        <f t="shared" si="45"/>
        <v>5)</v>
      </c>
      <c r="K298" s="8" t="str">
        <f t="shared" si="46"/>
        <v>2-5)</v>
      </c>
    </row>
    <row r="299" spans="1:11" ht="43.5">
      <c r="A299" s="3" t="s">
        <v>630</v>
      </c>
      <c r="B299" s="3" t="s">
        <v>631</v>
      </c>
      <c r="C299" s="3" t="s">
        <v>632</v>
      </c>
      <c r="D299" s="3" t="s">
        <v>6</v>
      </c>
      <c r="E299" s="9" t="str">
        <f t="shared" si="40"/>
        <v>3</v>
      </c>
      <c r="F299" s="11" t="str">
        <f t="shared" si="41"/>
        <v>3</v>
      </c>
      <c r="G299" s="10" t="str">
        <f t="shared" si="42"/>
        <v>0</v>
      </c>
      <c r="H299" s="2" t="str">
        <f t="shared" si="43"/>
        <v>6</v>
      </c>
      <c r="I299" s="8" t="str">
        <f t="shared" si="44"/>
        <v>3(3</v>
      </c>
      <c r="J299" s="8" t="str">
        <f t="shared" si="45"/>
        <v>6)</v>
      </c>
      <c r="K299" s="8" t="str">
        <f t="shared" si="46"/>
        <v>0-6)</v>
      </c>
    </row>
    <row r="300" spans="1:11">
      <c r="A300" s="3" t="s">
        <v>633</v>
      </c>
      <c r="B300" s="3" t="s">
        <v>634</v>
      </c>
      <c r="C300" s="3" t="s">
        <v>635</v>
      </c>
      <c r="D300" s="3" t="s">
        <v>6</v>
      </c>
      <c r="E300" s="9" t="str">
        <f t="shared" si="40"/>
        <v>3</v>
      </c>
      <c r="F300" s="11" t="str">
        <f t="shared" si="41"/>
        <v>3</v>
      </c>
      <c r="G300" s="10" t="str">
        <f t="shared" si="42"/>
        <v>0</v>
      </c>
      <c r="H300" s="2" t="str">
        <f t="shared" si="43"/>
        <v>6</v>
      </c>
      <c r="I300" s="8" t="str">
        <f t="shared" si="44"/>
        <v>3(3</v>
      </c>
      <c r="J300" s="8" t="str">
        <f t="shared" si="45"/>
        <v>6)</v>
      </c>
      <c r="K300" s="8" t="str">
        <f t="shared" si="46"/>
        <v>0-6)</v>
      </c>
    </row>
    <row r="301" spans="1:11">
      <c r="A301" s="3" t="s">
        <v>636</v>
      </c>
      <c r="B301" s="3" t="s">
        <v>637</v>
      </c>
      <c r="C301" s="3" t="s">
        <v>638</v>
      </c>
      <c r="D301" s="3" t="s">
        <v>6</v>
      </c>
      <c r="E301" s="9" t="str">
        <f t="shared" si="40"/>
        <v>3</v>
      </c>
      <c r="F301" s="11" t="str">
        <f t="shared" si="41"/>
        <v>3</v>
      </c>
      <c r="G301" s="10" t="str">
        <f t="shared" si="42"/>
        <v>0</v>
      </c>
      <c r="H301" s="2" t="str">
        <f t="shared" si="43"/>
        <v>6</v>
      </c>
      <c r="I301" s="8" t="str">
        <f t="shared" si="44"/>
        <v>3(3</v>
      </c>
      <c r="J301" s="8" t="str">
        <f t="shared" si="45"/>
        <v>6)</v>
      </c>
      <c r="K301" s="8" t="str">
        <f t="shared" si="46"/>
        <v>0-6)</v>
      </c>
    </row>
    <row r="302" spans="1:11" ht="43.5">
      <c r="A302" s="3" t="s">
        <v>639</v>
      </c>
      <c r="B302" s="3" t="s">
        <v>640</v>
      </c>
      <c r="C302" s="3" t="s">
        <v>641</v>
      </c>
      <c r="D302" s="3" t="s">
        <v>642</v>
      </c>
      <c r="I302" s="2"/>
      <c r="J302" s="2"/>
      <c r="K302" s="2"/>
    </row>
    <row r="303" spans="1:11" ht="43.5">
      <c r="A303" s="3" t="s">
        <v>643</v>
      </c>
      <c r="B303" s="3" t="s">
        <v>644</v>
      </c>
      <c r="C303" s="3" t="s">
        <v>645</v>
      </c>
      <c r="D303" s="3" t="s">
        <v>6</v>
      </c>
      <c r="E303" s="9" t="str">
        <f t="shared" si="40"/>
        <v>3</v>
      </c>
      <c r="F303" s="11" t="str">
        <f t="shared" si="41"/>
        <v>3</v>
      </c>
      <c r="G303" s="10" t="str">
        <f t="shared" si="42"/>
        <v>0</v>
      </c>
      <c r="H303" s="2" t="str">
        <f t="shared" si="43"/>
        <v>6</v>
      </c>
      <c r="I303" s="8" t="str">
        <f t="shared" si="44"/>
        <v>3(3</v>
      </c>
      <c r="J303" s="8" t="str">
        <f t="shared" si="45"/>
        <v>6)</v>
      </c>
      <c r="K303" s="8" t="str">
        <f t="shared" si="46"/>
        <v>0-6)</v>
      </c>
    </row>
    <row r="304" spans="1:11" ht="43.5">
      <c r="A304" s="3" t="s">
        <v>646</v>
      </c>
      <c r="B304" s="3" t="s">
        <v>647</v>
      </c>
      <c r="C304" s="3" t="s">
        <v>648</v>
      </c>
      <c r="D304" s="3" t="s">
        <v>649</v>
      </c>
      <c r="I304" s="2"/>
      <c r="J304" s="2"/>
      <c r="K304" s="2"/>
    </row>
    <row r="305" spans="1:11">
      <c r="A305" s="3" t="s">
        <v>650</v>
      </c>
      <c r="B305" s="3" t="s">
        <v>651</v>
      </c>
      <c r="C305" s="3" t="s">
        <v>652</v>
      </c>
      <c r="D305" s="3" t="s">
        <v>200</v>
      </c>
      <c r="E305" s="9" t="str">
        <f t="shared" si="40"/>
        <v>2</v>
      </c>
      <c r="F305" s="11" t="str">
        <f t="shared" si="41"/>
        <v>2</v>
      </c>
      <c r="G305" s="10" t="str">
        <f t="shared" si="42"/>
        <v>0</v>
      </c>
      <c r="H305" s="2" t="str">
        <f t="shared" si="43"/>
        <v>4</v>
      </c>
      <c r="I305" s="8" t="str">
        <f t="shared" si="44"/>
        <v>2(2</v>
      </c>
      <c r="J305" s="8" t="str">
        <f t="shared" si="45"/>
        <v>4)</v>
      </c>
      <c r="K305" s="8" t="str">
        <f t="shared" si="46"/>
        <v>0-4)</v>
      </c>
    </row>
    <row r="306" spans="1:11">
      <c r="A306" s="3" t="s">
        <v>653</v>
      </c>
      <c r="B306" s="3" t="s">
        <v>654</v>
      </c>
      <c r="C306" s="3" t="s">
        <v>655</v>
      </c>
      <c r="D306" s="3" t="s">
        <v>6</v>
      </c>
      <c r="E306" s="9" t="str">
        <f t="shared" si="40"/>
        <v>3</v>
      </c>
      <c r="F306" s="11" t="str">
        <f t="shared" si="41"/>
        <v>3</v>
      </c>
      <c r="G306" s="10" t="str">
        <f t="shared" si="42"/>
        <v>0</v>
      </c>
      <c r="H306" s="2" t="str">
        <f t="shared" si="43"/>
        <v>6</v>
      </c>
      <c r="I306" s="8" t="str">
        <f t="shared" si="44"/>
        <v>3(3</v>
      </c>
      <c r="J306" s="8" t="str">
        <f t="shared" si="45"/>
        <v>6)</v>
      </c>
      <c r="K306" s="8" t="str">
        <f t="shared" si="46"/>
        <v>0-6)</v>
      </c>
    </row>
    <row r="307" spans="1:11">
      <c r="A307" s="3" t="s">
        <v>656</v>
      </c>
      <c r="B307" s="3" t="s">
        <v>657</v>
      </c>
      <c r="C307" s="3" t="s">
        <v>746</v>
      </c>
      <c r="D307" s="3" t="s">
        <v>210</v>
      </c>
      <c r="E307" s="9" t="str">
        <f t="shared" si="40"/>
        <v>1</v>
      </c>
      <c r="F307" s="11" t="str">
        <f t="shared" si="41"/>
        <v>0</v>
      </c>
      <c r="G307" s="10" t="str">
        <f t="shared" si="42"/>
        <v>3</v>
      </c>
      <c r="H307" s="2" t="str">
        <f t="shared" si="43"/>
        <v>0</v>
      </c>
      <c r="I307" s="8" t="str">
        <f t="shared" si="44"/>
        <v>1(0</v>
      </c>
      <c r="J307" s="8" t="str">
        <f t="shared" si="45"/>
        <v>0)</v>
      </c>
      <c r="K307" s="8" t="str">
        <f t="shared" si="46"/>
        <v>3-0)</v>
      </c>
    </row>
    <row r="308" spans="1:11">
      <c r="A308" s="3" t="s">
        <v>658</v>
      </c>
      <c r="B308" s="3" t="s">
        <v>659</v>
      </c>
      <c r="C308" s="3" t="s">
        <v>660</v>
      </c>
      <c r="D308" s="3" t="s">
        <v>200</v>
      </c>
      <c r="E308" s="9" t="str">
        <f t="shared" si="40"/>
        <v>2</v>
      </c>
      <c r="F308" s="11" t="str">
        <f t="shared" si="41"/>
        <v>2</v>
      </c>
      <c r="G308" s="10" t="str">
        <f t="shared" si="42"/>
        <v>0</v>
      </c>
      <c r="H308" s="2" t="str">
        <f t="shared" si="43"/>
        <v>4</v>
      </c>
      <c r="I308" s="8" t="str">
        <f t="shared" si="44"/>
        <v>2(2</v>
      </c>
      <c r="J308" s="8" t="str">
        <f t="shared" si="45"/>
        <v>4)</v>
      </c>
      <c r="K308" s="8" t="str">
        <f t="shared" si="46"/>
        <v>0-4)</v>
      </c>
    </row>
    <row r="309" spans="1:11">
      <c r="A309" s="3" t="s">
        <v>661</v>
      </c>
      <c r="B309" s="3" t="s">
        <v>662</v>
      </c>
      <c r="C309" s="3" t="s">
        <v>663</v>
      </c>
      <c r="D309" s="3" t="s">
        <v>6</v>
      </c>
      <c r="E309" s="9" t="str">
        <f t="shared" si="40"/>
        <v>3</v>
      </c>
      <c r="F309" s="11" t="str">
        <f t="shared" si="41"/>
        <v>3</v>
      </c>
      <c r="G309" s="10" t="str">
        <f t="shared" si="42"/>
        <v>0</v>
      </c>
      <c r="H309" s="2" t="str">
        <f t="shared" si="43"/>
        <v>6</v>
      </c>
      <c r="I309" s="8" t="str">
        <f t="shared" si="44"/>
        <v>3(3</v>
      </c>
      <c r="J309" s="8" t="str">
        <f t="shared" si="45"/>
        <v>6)</v>
      </c>
      <c r="K309" s="8" t="str">
        <f t="shared" si="46"/>
        <v>0-6)</v>
      </c>
    </row>
    <row r="310" spans="1:11">
      <c r="A310" s="3" t="s">
        <v>664</v>
      </c>
      <c r="B310" s="3" t="s">
        <v>665</v>
      </c>
      <c r="C310" s="3" t="s">
        <v>666</v>
      </c>
      <c r="D310" s="3" t="s">
        <v>200</v>
      </c>
      <c r="E310" s="9" t="str">
        <f t="shared" si="40"/>
        <v>2</v>
      </c>
      <c r="F310" s="11" t="str">
        <f t="shared" si="41"/>
        <v>2</v>
      </c>
      <c r="G310" s="10" t="str">
        <f t="shared" si="42"/>
        <v>0</v>
      </c>
      <c r="H310" s="2" t="str">
        <f t="shared" si="43"/>
        <v>4</v>
      </c>
      <c r="I310" s="8" t="str">
        <f t="shared" si="44"/>
        <v>2(2</v>
      </c>
      <c r="J310" s="8" t="str">
        <f t="shared" si="45"/>
        <v>4)</v>
      </c>
      <c r="K310" s="8" t="str">
        <f t="shared" si="46"/>
        <v>0-4)</v>
      </c>
    </row>
    <row r="311" spans="1:11">
      <c r="A311" s="3" t="s">
        <v>667</v>
      </c>
      <c r="B311" s="3" t="s">
        <v>668</v>
      </c>
      <c r="C311" s="3" t="s">
        <v>669</v>
      </c>
      <c r="D311" s="3" t="s">
        <v>200</v>
      </c>
      <c r="E311" s="9" t="str">
        <f t="shared" si="40"/>
        <v>2</v>
      </c>
      <c r="F311" s="11" t="str">
        <f t="shared" si="41"/>
        <v>2</v>
      </c>
      <c r="G311" s="10" t="str">
        <f t="shared" si="42"/>
        <v>0</v>
      </c>
      <c r="H311" s="2" t="str">
        <f t="shared" si="43"/>
        <v>4</v>
      </c>
      <c r="I311" s="8" t="str">
        <f t="shared" si="44"/>
        <v>2(2</v>
      </c>
      <c r="J311" s="8" t="str">
        <f t="shared" si="45"/>
        <v>4)</v>
      </c>
      <c r="K311" s="8" t="str">
        <f t="shared" si="46"/>
        <v>0-4)</v>
      </c>
    </row>
    <row r="312" spans="1:11">
      <c r="A312" s="3" t="s">
        <v>670</v>
      </c>
      <c r="B312" s="3" t="s">
        <v>671</v>
      </c>
      <c r="C312" s="3" t="s">
        <v>672</v>
      </c>
      <c r="D312" s="3" t="s">
        <v>200</v>
      </c>
      <c r="E312" s="9" t="str">
        <f t="shared" si="40"/>
        <v>2</v>
      </c>
      <c r="F312" s="11" t="str">
        <f t="shared" si="41"/>
        <v>2</v>
      </c>
      <c r="G312" s="10" t="str">
        <f t="shared" si="42"/>
        <v>0</v>
      </c>
      <c r="H312" s="2" t="str">
        <f t="shared" si="43"/>
        <v>4</v>
      </c>
      <c r="I312" s="8" t="str">
        <f t="shared" si="44"/>
        <v>2(2</v>
      </c>
      <c r="J312" s="8" t="str">
        <f t="shared" si="45"/>
        <v>4)</v>
      </c>
      <c r="K312" s="8" t="str">
        <f t="shared" si="46"/>
        <v>0-4)</v>
      </c>
    </row>
    <row r="313" spans="1:11">
      <c r="A313" s="3" t="s">
        <v>673</v>
      </c>
      <c r="B313" s="3" t="s">
        <v>674</v>
      </c>
      <c r="C313" s="3" t="s">
        <v>675</v>
      </c>
      <c r="D313" s="3" t="s">
        <v>200</v>
      </c>
      <c r="E313" s="9" t="str">
        <f t="shared" si="40"/>
        <v>2</v>
      </c>
      <c r="F313" s="11" t="str">
        <f t="shared" si="41"/>
        <v>2</v>
      </c>
      <c r="G313" s="10" t="str">
        <f t="shared" si="42"/>
        <v>0</v>
      </c>
      <c r="H313" s="2" t="str">
        <f t="shared" si="43"/>
        <v>4</v>
      </c>
      <c r="I313" s="8" t="str">
        <f t="shared" si="44"/>
        <v>2(2</v>
      </c>
      <c r="J313" s="8" t="str">
        <f t="shared" si="45"/>
        <v>4)</v>
      </c>
      <c r="K313" s="8" t="str">
        <f t="shared" si="46"/>
        <v>0-4)</v>
      </c>
    </row>
    <row r="314" spans="1:11">
      <c r="A314" s="3" t="s">
        <v>676</v>
      </c>
      <c r="B314" s="3" t="s">
        <v>677</v>
      </c>
      <c r="C314" s="3" t="s">
        <v>678</v>
      </c>
      <c r="D314" s="3" t="s">
        <v>200</v>
      </c>
      <c r="E314" s="9" t="str">
        <f t="shared" si="40"/>
        <v>2</v>
      </c>
      <c r="F314" s="11" t="str">
        <f t="shared" si="41"/>
        <v>2</v>
      </c>
      <c r="G314" s="10" t="str">
        <f t="shared" si="42"/>
        <v>0</v>
      </c>
      <c r="H314" s="2" t="str">
        <f t="shared" si="43"/>
        <v>4</v>
      </c>
      <c r="I314" s="8" t="str">
        <f t="shared" si="44"/>
        <v>2(2</v>
      </c>
      <c r="J314" s="8" t="str">
        <f t="shared" si="45"/>
        <v>4)</v>
      </c>
      <c r="K314" s="8" t="str">
        <f t="shared" si="46"/>
        <v>0-4)</v>
      </c>
    </row>
    <row r="315" spans="1:11" ht="43.5">
      <c r="A315" s="3" t="s">
        <v>679</v>
      </c>
      <c r="B315" s="3" t="s">
        <v>680</v>
      </c>
      <c r="C315" s="3" t="s">
        <v>681</v>
      </c>
      <c r="D315" s="3" t="s">
        <v>200</v>
      </c>
      <c r="E315" s="9" t="str">
        <f t="shared" si="40"/>
        <v>2</v>
      </c>
      <c r="F315" s="11" t="str">
        <f t="shared" si="41"/>
        <v>2</v>
      </c>
      <c r="G315" s="10" t="str">
        <f t="shared" si="42"/>
        <v>0</v>
      </c>
      <c r="H315" s="2" t="str">
        <f t="shared" si="43"/>
        <v>4</v>
      </c>
      <c r="I315" s="8" t="str">
        <f t="shared" si="44"/>
        <v>2(2</v>
      </c>
      <c r="J315" s="8" t="str">
        <f t="shared" si="45"/>
        <v>4)</v>
      </c>
      <c r="K315" s="8" t="str">
        <f t="shared" si="46"/>
        <v>0-4)</v>
      </c>
    </row>
    <row r="316" spans="1:11">
      <c r="A316" s="3" t="s">
        <v>682</v>
      </c>
      <c r="B316" s="3" t="s">
        <v>683</v>
      </c>
      <c r="C316" s="3" t="s">
        <v>684</v>
      </c>
      <c r="D316" s="3" t="s">
        <v>685</v>
      </c>
      <c r="I316" s="2"/>
      <c r="J316" s="2"/>
      <c r="K316" s="2"/>
    </row>
    <row r="317" spans="1:11">
      <c r="A317" s="1" t="s">
        <v>479</v>
      </c>
      <c r="B317" s="1" t="s">
        <v>588</v>
      </c>
      <c r="C317" s="1" t="s">
        <v>589</v>
      </c>
      <c r="D317" s="1" t="s">
        <v>6</v>
      </c>
      <c r="E317" s="9" t="str">
        <f t="shared" si="40"/>
        <v>3</v>
      </c>
      <c r="F317" s="11" t="str">
        <f t="shared" si="41"/>
        <v>3</v>
      </c>
      <c r="G317" s="10" t="str">
        <f t="shared" si="42"/>
        <v>0</v>
      </c>
      <c r="H317" s="2" t="str">
        <f t="shared" si="43"/>
        <v>6</v>
      </c>
      <c r="I317" s="8" t="str">
        <f t="shared" si="44"/>
        <v>3(3</v>
      </c>
      <c r="J317" s="8" t="str">
        <f t="shared" si="45"/>
        <v>6)</v>
      </c>
      <c r="K317" s="8" t="str">
        <f t="shared" si="46"/>
        <v>0-6)</v>
      </c>
    </row>
    <row r="318" spans="1:11">
      <c r="A318" s="1">
        <v>202100</v>
      </c>
      <c r="B318" s="1" t="s">
        <v>590</v>
      </c>
      <c r="C318" s="1" t="s">
        <v>207</v>
      </c>
      <c r="D318" s="1" t="s">
        <v>6</v>
      </c>
      <c r="E318" s="9" t="str">
        <f t="shared" si="40"/>
        <v>3</v>
      </c>
      <c r="F318" s="11" t="str">
        <f t="shared" si="41"/>
        <v>3</v>
      </c>
      <c r="G318" s="10" t="str">
        <f t="shared" si="42"/>
        <v>0</v>
      </c>
      <c r="H318" s="2" t="str">
        <f t="shared" si="43"/>
        <v>6</v>
      </c>
      <c r="I318" s="8" t="str">
        <f t="shared" si="44"/>
        <v>3(3</v>
      </c>
      <c r="J318" s="8" t="str">
        <f t="shared" si="45"/>
        <v>6)</v>
      </c>
      <c r="K318" s="8" t="str">
        <f t="shared" si="46"/>
        <v>0-6)</v>
      </c>
    </row>
    <row r="319" spans="1:11">
      <c r="A319" s="1">
        <v>202190</v>
      </c>
      <c r="B319" s="1" t="s">
        <v>208</v>
      </c>
      <c r="C319" s="1" t="s">
        <v>209</v>
      </c>
      <c r="D319" s="1" t="s">
        <v>210</v>
      </c>
      <c r="E319" s="9" t="str">
        <f t="shared" si="40"/>
        <v>1</v>
      </c>
      <c r="F319" s="11" t="str">
        <f t="shared" si="41"/>
        <v>0</v>
      </c>
      <c r="G319" s="10" t="str">
        <f t="shared" si="42"/>
        <v>3</v>
      </c>
      <c r="H319" s="2" t="str">
        <f t="shared" si="43"/>
        <v>0</v>
      </c>
      <c r="I319" s="8" t="str">
        <f t="shared" si="44"/>
        <v>1(0</v>
      </c>
      <c r="J319" s="8" t="str">
        <f t="shared" si="45"/>
        <v>0)</v>
      </c>
      <c r="K319" s="8" t="str">
        <f t="shared" si="46"/>
        <v>3-0)</v>
      </c>
    </row>
    <row r="320" spans="1:11">
      <c r="A320" s="1" t="s">
        <v>241</v>
      </c>
      <c r="B320" s="1" t="s">
        <v>371</v>
      </c>
      <c r="C320" s="1" t="s">
        <v>243</v>
      </c>
      <c r="D320" s="1" t="s">
        <v>18</v>
      </c>
      <c r="E320" s="9" t="str">
        <f t="shared" si="40"/>
        <v>3</v>
      </c>
      <c r="F320" s="11" t="str">
        <f t="shared" si="41"/>
        <v>2</v>
      </c>
      <c r="G320" s="10" t="str">
        <f t="shared" si="42"/>
        <v>2</v>
      </c>
      <c r="H320" s="2" t="str">
        <f t="shared" si="43"/>
        <v>5</v>
      </c>
      <c r="I320" s="8" t="str">
        <f t="shared" si="44"/>
        <v>3(2</v>
      </c>
      <c r="J320" s="8" t="str">
        <f t="shared" si="45"/>
        <v>5)</v>
      </c>
      <c r="K320" s="8" t="str">
        <f t="shared" si="46"/>
        <v>2-5)</v>
      </c>
    </row>
    <row r="321" spans="1:11">
      <c r="A321" s="1" t="s">
        <v>230</v>
      </c>
      <c r="B321" s="1" t="s">
        <v>231</v>
      </c>
      <c r="C321" s="1" t="s">
        <v>592</v>
      </c>
      <c r="D321" s="1" t="s">
        <v>6</v>
      </c>
      <c r="E321" s="9" t="str">
        <f t="shared" si="40"/>
        <v>3</v>
      </c>
      <c r="F321" s="11" t="str">
        <f t="shared" si="41"/>
        <v>3</v>
      </c>
      <c r="G321" s="10" t="str">
        <f t="shared" si="42"/>
        <v>0</v>
      </c>
      <c r="H321" s="2" t="str">
        <f t="shared" si="43"/>
        <v>6</v>
      </c>
      <c r="I321" s="8" t="str">
        <f t="shared" si="44"/>
        <v>3(3</v>
      </c>
      <c r="J321" s="8" t="str">
        <f t="shared" si="45"/>
        <v>6)</v>
      </c>
      <c r="K321" s="8" t="str">
        <f t="shared" si="46"/>
        <v>0-6)</v>
      </c>
    </row>
    <row r="322" spans="1:11">
      <c r="A322" s="1" t="s">
        <v>233</v>
      </c>
      <c r="B322" s="1" t="s">
        <v>593</v>
      </c>
      <c r="C322" s="1" t="s">
        <v>594</v>
      </c>
      <c r="D322" s="1" t="s">
        <v>210</v>
      </c>
      <c r="E322" s="9" t="str">
        <f t="shared" si="40"/>
        <v>1</v>
      </c>
      <c r="F322" s="11" t="str">
        <f t="shared" si="41"/>
        <v>0</v>
      </c>
      <c r="G322" s="10" t="str">
        <f t="shared" si="42"/>
        <v>3</v>
      </c>
      <c r="H322" s="2" t="str">
        <f t="shared" si="43"/>
        <v>0</v>
      </c>
      <c r="I322" s="8" t="str">
        <f t="shared" si="44"/>
        <v>1(0</v>
      </c>
      <c r="J322" s="8" t="str">
        <f t="shared" si="45"/>
        <v>0)</v>
      </c>
      <c r="K322" s="8" t="str">
        <f t="shared" si="46"/>
        <v>3-0)</v>
      </c>
    </row>
    <row r="323" spans="1:11">
      <c r="A323" s="1" t="s">
        <v>236</v>
      </c>
      <c r="B323" s="1" t="s">
        <v>578</v>
      </c>
      <c r="C323" s="1" t="s">
        <v>238</v>
      </c>
      <c r="D323" s="1" t="s">
        <v>6</v>
      </c>
      <c r="E323" s="9" t="str">
        <f t="shared" si="40"/>
        <v>3</v>
      </c>
      <c r="F323" s="11" t="str">
        <f t="shared" si="41"/>
        <v>3</v>
      </c>
      <c r="G323" s="10" t="str">
        <f t="shared" si="42"/>
        <v>0</v>
      </c>
      <c r="H323" s="2" t="str">
        <f t="shared" si="43"/>
        <v>6</v>
      </c>
      <c r="I323" s="8" t="str">
        <f t="shared" si="44"/>
        <v>3(3</v>
      </c>
      <c r="J323" s="8" t="str">
        <f t="shared" si="45"/>
        <v>6)</v>
      </c>
      <c r="K323" s="8" t="str">
        <f t="shared" si="46"/>
        <v>0-6)</v>
      </c>
    </row>
    <row r="324" spans="1:11">
      <c r="A324" s="1" t="s">
        <v>216</v>
      </c>
      <c r="B324" s="1" t="s">
        <v>217</v>
      </c>
      <c r="C324" s="1" t="s">
        <v>218</v>
      </c>
      <c r="D324" s="1" t="s">
        <v>18</v>
      </c>
      <c r="E324" s="9" t="str">
        <f t="shared" ref="E324:E387" si="47">LEFT(D324,1)</f>
        <v>3</v>
      </c>
      <c r="F324" s="11" t="str">
        <f t="shared" si="41"/>
        <v>2</v>
      </c>
      <c r="G324" s="10" t="str">
        <f t="shared" si="42"/>
        <v>2</v>
      </c>
      <c r="H324" s="2" t="str">
        <f t="shared" si="43"/>
        <v>5</v>
      </c>
      <c r="I324" s="8" t="str">
        <f t="shared" si="44"/>
        <v>3(2</v>
      </c>
      <c r="J324" s="8" t="str">
        <f t="shared" si="45"/>
        <v>5)</v>
      </c>
      <c r="K324" s="8" t="str">
        <f t="shared" si="46"/>
        <v>2-5)</v>
      </c>
    </row>
    <row r="325" spans="1:11">
      <c r="A325" s="1" t="s">
        <v>249</v>
      </c>
      <c r="B325" s="1" t="s">
        <v>250</v>
      </c>
      <c r="C325" s="1" t="s">
        <v>596</v>
      </c>
      <c r="D325" s="1" t="s">
        <v>6</v>
      </c>
      <c r="E325" s="9" t="str">
        <f t="shared" si="47"/>
        <v>3</v>
      </c>
      <c r="F325" s="11" t="str">
        <f t="shared" si="41"/>
        <v>3</v>
      </c>
      <c r="G325" s="10" t="str">
        <f t="shared" si="42"/>
        <v>0</v>
      </c>
      <c r="H325" s="2" t="str">
        <f t="shared" si="43"/>
        <v>6</v>
      </c>
      <c r="I325" s="8" t="str">
        <f t="shared" si="44"/>
        <v>3(3</v>
      </c>
      <c r="J325" s="8" t="str">
        <f t="shared" si="45"/>
        <v>6)</v>
      </c>
      <c r="K325" s="8" t="str">
        <f t="shared" si="46"/>
        <v>0-6)</v>
      </c>
    </row>
    <row r="326" spans="1:11">
      <c r="A326" s="1" t="s">
        <v>246</v>
      </c>
      <c r="B326" s="1" t="s">
        <v>247</v>
      </c>
      <c r="C326" s="1" t="s">
        <v>580</v>
      </c>
      <c r="D326" s="1" t="s">
        <v>210</v>
      </c>
      <c r="E326" s="9" t="str">
        <f t="shared" si="47"/>
        <v>1</v>
      </c>
      <c r="F326" s="11" t="str">
        <f t="shared" si="41"/>
        <v>0</v>
      </c>
      <c r="G326" s="10" t="str">
        <f t="shared" si="42"/>
        <v>3</v>
      </c>
      <c r="H326" s="2" t="str">
        <f t="shared" si="43"/>
        <v>0</v>
      </c>
      <c r="I326" s="8" t="str">
        <f t="shared" si="44"/>
        <v>1(0</v>
      </c>
      <c r="J326" s="8" t="str">
        <f t="shared" si="45"/>
        <v>0)</v>
      </c>
      <c r="K326" s="8" t="str">
        <f t="shared" si="46"/>
        <v>3-0)</v>
      </c>
    </row>
    <row r="327" spans="1:11">
      <c r="A327" s="1" t="s">
        <v>398</v>
      </c>
      <c r="B327" s="1" t="s">
        <v>252</v>
      </c>
      <c r="C327" s="1" t="s">
        <v>253</v>
      </c>
      <c r="D327" s="1" t="s">
        <v>6</v>
      </c>
      <c r="E327" s="9" t="str">
        <f t="shared" si="47"/>
        <v>3</v>
      </c>
      <c r="F327" s="11" t="str">
        <f t="shared" si="41"/>
        <v>3</v>
      </c>
      <c r="G327" s="10" t="str">
        <f t="shared" si="42"/>
        <v>0</v>
      </c>
      <c r="H327" s="2" t="str">
        <f t="shared" si="43"/>
        <v>6</v>
      </c>
      <c r="I327" s="8" t="str">
        <f t="shared" si="44"/>
        <v>3(3</v>
      </c>
      <c r="J327" s="8" t="str">
        <f t="shared" si="45"/>
        <v>6)</v>
      </c>
      <c r="K327" s="8" t="str">
        <f t="shared" si="46"/>
        <v>0-6)</v>
      </c>
    </row>
    <row r="328" spans="1:11">
      <c r="A328" s="1" t="s">
        <v>402</v>
      </c>
      <c r="B328" s="1" t="s">
        <v>254</v>
      </c>
      <c r="C328" s="1" t="s">
        <v>255</v>
      </c>
      <c r="D328" s="1" t="s">
        <v>6</v>
      </c>
      <c r="E328" s="9" t="str">
        <f t="shared" si="47"/>
        <v>3</v>
      </c>
      <c r="F328" s="11" t="str">
        <f t="shared" si="41"/>
        <v>3</v>
      </c>
      <c r="G328" s="10" t="str">
        <f t="shared" si="42"/>
        <v>0</v>
      </c>
      <c r="H328" s="2" t="str">
        <f t="shared" si="43"/>
        <v>6</v>
      </c>
      <c r="I328" s="8" t="str">
        <f t="shared" si="44"/>
        <v>3(3</v>
      </c>
      <c r="J328" s="8" t="str">
        <f t="shared" si="45"/>
        <v>6)</v>
      </c>
      <c r="K328" s="8" t="str">
        <f t="shared" si="46"/>
        <v>0-6)</v>
      </c>
    </row>
    <row r="329" spans="1:11">
      <c r="A329" s="1" t="s">
        <v>411</v>
      </c>
      <c r="B329" s="1" t="s">
        <v>268</v>
      </c>
      <c r="C329" s="1" t="s">
        <v>269</v>
      </c>
      <c r="D329" s="1" t="s">
        <v>6</v>
      </c>
      <c r="E329" s="9" t="str">
        <f t="shared" si="47"/>
        <v>3</v>
      </c>
      <c r="F329" s="11" t="str">
        <f t="shared" si="41"/>
        <v>3</v>
      </c>
      <c r="G329" s="10" t="str">
        <f t="shared" si="42"/>
        <v>0</v>
      </c>
      <c r="H329" s="2" t="str">
        <f t="shared" si="43"/>
        <v>6</v>
      </c>
      <c r="I329" s="8" t="str">
        <f t="shared" si="44"/>
        <v>3(3</v>
      </c>
      <c r="J329" s="8" t="str">
        <f t="shared" si="45"/>
        <v>6)</v>
      </c>
      <c r="K329" s="8" t="str">
        <f t="shared" si="46"/>
        <v>0-6)</v>
      </c>
    </row>
    <row r="330" spans="1:11">
      <c r="A330" s="1" t="s">
        <v>597</v>
      </c>
      <c r="B330" s="1" t="s">
        <v>598</v>
      </c>
      <c r="C330" s="1" t="s">
        <v>599</v>
      </c>
      <c r="D330" s="1" t="s">
        <v>6</v>
      </c>
      <c r="E330" s="9" t="str">
        <f t="shared" si="47"/>
        <v>3</v>
      </c>
      <c r="F330" s="11" t="str">
        <f t="shared" si="41"/>
        <v>3</v>
      </c>
      <c r="G330" s="10" t="str">
        <f t="shared" si="42"/>
        <v>0</v>
      </c>
      <c r="H330" s="2" t="str">
        <f t="shared" si="43"/>
        <v>6</v>
      </c>
      <c r="I330" s="8" t="str">
        <f t="shared" si="44"/>
        <v>3(3</v>
      </c>
      <c r="J330" s="8" t="str">
        <f t="shared" si="45"/>
        <v>6)</v>
      </c>
      <c r="K330" s="8" t="str">
        <f t="shared" si="46"/>
        <v>0-6)</v>
      </c>
    </row>
    <row r="331" spans="1:11">
      <c r="A331" s="1" t="s">
        <v>262</v>
      </c>
      <c r="B331" s="1" t="s">
        <v>263</v>
      </c>
      <c r="C331" s="1" t="s">
        <v>264</v>
      </c>
      <c r="D331" s="1" t="s">
        <v>6</v>
      </c>
      <c r="E331" s="9" t="str">
        <f t="shared" si="47"/>
        <v>3</v>
      </c>
      <c r="F331" s="11" t="str">
        <f t="shared" si="41"/>
        <v>3</v>
      </c>
      <c r="G331" s="10" t="str">
        <f t="shared" si="42"/>
        <v>0</v>
      </c>
      <c r="H331" s="2" t="str">
        <f t="shared" si="43"/>
        <v>6</v>
      </c>
      <c r="I331" s="8" t="str">
        <f t="shared" si="44"/>
        <v>3(3</v>
      </c>
      <c r="J331" s="8" t="str">
        <f t="shared" si="45"/>
        <v>6)</v>
      </c>
      <c r="K331" s="8" t="str">
        <f t="shared" si="46"/>
        <v>0-6)</v>
      </c>
    </row>
    <row r="332" spans="1:11">
      <c r="A332" s="1" t="s">
        <v>413</v>
      </c>
      <c r="B332" s="1" t="s">
        <v>414</v>
      </c>
      <c r="C332" s="1" t="s">
        <v>415</v>
      </c>
      <c r="D332" s="1" t="s">
        <v>6</v>
      </c>
      <c r="E332" s="9" t="str">
        <f t="shared" si="47"/>
        <v>3</v>
      </c>
      <c r="F332" s="11" t="str">
        <f t="shared" si="41"/>
        <v>3</v>
      </c>
      <c r="G332" s="10" t="str">
        <f t="shared" si="42"/>
        <v>0</v>
      </c>
      <c r="H332" s="2" t="str">
        <f t="shared" si="43"/>
        <v>6</v>
      </c>
      <c r="I332" s="8" t="str">
        <f t="shared" si="44"/>
        <v>3(3</v>
      </c>
      <c r="J332" s="8" t="str">
        <f t="shared" si="45"/>
        <v>6)</v>
      </c>
      <c r="K332" s="8" t="str">
        <f t="shared" si="46"/>
        <v>0-6)</v>
      </c>
    </row>
    <row r="333" spans="1:11">
      <c r="A333" s="1" t="s">
        <v>600</v>
      </c>
      <c r="B333" s="1" t="s">
        <v>686</v>
      </c>
      <c r="C333" s="1" t="s">
        <v>602</v>
      </c>
      <c r="D333" s="1" t="s">
        <v>200</v>
      </c>
      <c r="E333" s="9" t="str">
        <f t="shared" si="47"/>
        <v>2</v>
      </c>
      <c r="F333" s="11" t="str">
        <f t="shared" si="41"/>
        <v>2</v>
      </c>
      <c r="G333" s="10" t="str">
        <f t="shared" si="42"/>
        <v>0</v>
      </c>
      <c r="H333" s="2" t="str">
        <f t="shared" si="43"/>
        <v>4</v>
      </c>
      <c r="I333" s="8" t="str">
        <f t="shared" si="44"/>
        <v>2(2</v>
      </c>
      <c r="J333" s="8" t="str">
        <f t="shared" si="45"/>
        <v>4)</v>
      </c>
      <c r="K333" s="8" t="str">
        <f t="shared" si="46"/>
        <v>0-4)</v>
      </c>
    </row>
    <row r="334" spans="1:11">
      <c r="A334" s="1" t="s">
        <v>603</v>
      </c>
      <c r="B334" s="1" t="s">
        <v>604</v>
      </c>
      <c r="C334" s="1" t="s">
        <v>605</v>
      </c>
      <c r="D334" s="1" t="s">
        <v>6</v>
      </c>
      <c r="E334" s="9" t="str">
        <f t="shared" si="47"/>
        <v>3</v>
      </c>
      <c r="F334" s="11" t="str">
        <f t="shared" si="41"/>
        <v>3</v>
      </c>
      <c r="G334" s="10" t="str">
        <f t="shared" si="42"/>
        <v>0</v>
      </c>
      <c r="H334" s="2" t="str">
        <f t="shared" si="43"/>
        <v>6</v>
      </c>
      <c r="I334" s="8" t="str">
        <f t="shared" si="44"/>
        <v>3(3</v>
      </c>
      <c r="J334" s="8" t="str">
        <f t="shared" si="45"/>
        <v>6)</v>
      </c>
      <c r="K334" s="8" t="str">
        <f t="shared" si="46"/>
        <v>0-6)</v>
      </c>
    </row>
    <row r="335" spans="1:11">
      <c r="A335" s="1" t="s">
        <v>606</v>
      </c>
      <c r="B335" s="1" t="s">
        <v>687</v>
      </c>
      <c r="C335" s="1" t="s">
        <v>608</v>
      </c>
      <c r="D335" s="1" t="s">
        <v>6</v>
      </c>
      <c r="E335" s="9" t="str">
        <f t="shared" si="47"/>
        <v>3</v>
      </c>
      <c r="F335" s="11" t="str">
        <f t="shared" si="41"/>
        <v>3</v>
      </c>
      <c r="G335" s="10" t="str">
        <f t="shared" si="42"/>
        <v>0</v>
      </c>
      <c r="H335" s="2" t="str">
        <f t="shared" si="43"/>
        <v>6</v>
      </c>
      <c r="I335" s="8" t="str">
        <f t="shared" si="44"/>
        <v>3(3</v>
      </c>
      <c r="J335" s="8" t="str">
        <f t="shared" si="45"/>
        <v>6)</v>
      </c>
      <c r="K335" s="8" t="str">
        <f t="shared" si="46"/>
        <v>0-6)</v>
      </c>
    </row>
    <row r="336" spans="1:11">
      <c r="A336" s="1" t="s">
        <v>445</v>
      </c>
      <c r="B336" s="1" t="s">
        <v>519</v>
      </c>
      <c r="C336" s="1" t="s">
        <v>447</v>
      </c>
      <c r="D336" s="1" t="s">
        <v>6</v>
      </c>
      <c r="E336" s="9" t="str">
        <f t="shared" si="47"/>
        <v>3</v>
      </c>
      <c r="F336" s="11" t="str">
        <f t="shared" si="41"/>
        <v>3</v>
      </c>
      <c r="G336" s="10" t="str">
        <f t="shared" si="42"/>
        <v>0</v>
      </c>
      <c r="H336" s="2" t="str">
        <f t="shared" si="43"/>
        <v>6</v>
      </c>
      <c r="I336" s="8" t="str">
        <f t="shared" si="44"/>
        <v>3(3</v>
      </c>
      <c r="J336" s="8" t="str">
        <f t="shared" si="45"/>
        <v>6)</v>
      </c>
      <c r="K336" s="8" t="str">
        <f t="shared" si="46"/>
        <v>0-6)</v>
      </c>
    </row>
    <row r="337" spans="1:11">
      <c r="A337" s="1" t="s">
        <v>297</v>
      </c>
      <c r="B337" s="1" t="s">
        <v>298</v>
      </c>
      <c r="C337" s="1" t="s">
        <v>299</v>
      </c>
      <c r="D337" s="1" t="s">
        <v>300</v>
      </c>
      <c r="I337" s="2"/>
      <c r="J337" s="2"/>
      <c r="K337" s="2"/>
    </row>
    <row r="338" spans="1:11">
      <c r="A338" s="1" t="s">
        <v>612</v>
      </c>
      <c r="B338" s="1" t="s">
        <v>688</v>
      </c>
      <c r="C338" s="1" t="s">
        <v>614</v>
      </c>
      <c r="D338" s="1" t="s">
        <v>169</v>
      </c>
      <c r="E338" s="9" t="str">
        <f t="shared" si="47"/>
        <v>2</v>
      </c>
      <c r="F338" s="11" t="str">
        <f t="shared" si="41"/>
        <v>1</v>
      </c>
      <c r="G338" s="10" t="str">
        <f t="shared" si="42"/>
        <v>2</v>
      </c>
      <c r="H338" s="2" t="str">
        <f t="shared" si="43"/>
        <v>3</v>
      </c>
      <c r="I338" s="8" t="str">
        <f t="shared" si="44"/>
        <v>2(1</v>
      </c>
      <c r="J338" s="8" t="str">
        <f t="shared" si="45"/>
        <v>3)</v>
      </c>
      <c r="K338" s="8" t="str">
        <f t="shared" si="46"/>
        <v>2-3)</v>
      </c>
    </row>
    <row r="339" spans="1:11">
      <c r="A339" s="1" t="s">
        <v>615</v>
      </c>
      <c r="B339" s="1" t="s">
        <v>689</v>
      </c>
      <c r="C339" s="1" t="s">
        <v>156</v>
      </c>
      <c r="D339" s="1" t="s">
        <v>18</v>
      </c>
      <c r="E339" s="9" t="str">
        <f t="shared" si="47"/>
        <v>3</v>
      </c>
      <c r="F339" s="11" t="str">
        <f t="shared" si="41"/>
        <v>2</v>
      </c>
      <c r="G339" s="10" t="str">
        <f t="shared" si="42"/>
        <v>2</v>
      </c>
      <c r="H339" s="2" t="str">
        <f t="shared" si="43"/>
        <v>5</v>
      </c>
      <c r="I339" s="8" t="str">
        <f t="shared" si="44"/>
        <v>3(2</v>
      </c>
      <c r="J339" s="8" t="str">
        <f t="shared" si="45"/>
        <v>5)</v>
      </c>
      <c r="K339" s="8" t="str">
        <f t="shared" si="46"/>
        <v>2-5)</v>
      </c>
    </row>
    <row r="340" spans="1:11">
      <c r="A340" s="1" t="s">
        <v>616</v>
      </c>
      <c r="B340" s="1" t="s">
        <v>690</v>
      </c>
      <c r="C340" s="1" t="s">
        <v>617</v>
      </c>
      <c r="D340" s="1" t="s">
        <v>6</v>
      </c>
      <c r="E340" s="9" t="str">
        <f t="shared" si="47"/>
        <v>3</v>
      </c>
      <c r="F340" s="11" t="str">
        <f t="shared" si="41"/>
        <v>3</v>
      </c>
      <c r="G340" s="10" t="str">
        <f t="shared" si="42"/>
        <v>0</v>
      </c>
      <c r="H340" s="2" t="str">
        <f t="shared" si="43"/>
        <v>6</v>
      </c>
      <c r="I340" s="8" t="str">
        <f t="shared" si="44"/>
        <v>3(3</v>
      </c>
      <c r="J340" s="8" t="str">
        <f t="shared" si="45"/>
        <v>6)</v>
      </c>
      <c r="K340" s="8" t="str">
        <f t="shared" si="46"/>
        <v>0-6)</v>
      </c>
    </row>
    <row r="341" spans="1:11">
      <c r="A341" s="1" t="s">
        <v>618</v>
      </c>
      <c r="B341" s="1" t="s">
        <v>691</v>
      </c>
      <c r="C341" s="1" t="s">
        <v>619</v>
      </c>
      <c r="D341" s="1" t="s">
        <v>6</v>
      </c>
      <c r="E341" s="9" t="str">
        <f t="shared" si="47"/>
        <v>3</v>
      </c>
      <c r="F341" s="11" t="str">
        <f t="shared" si="41"/>
        <v>3</v>
      </c>
      <c r="G341" s="10" t="str">
        <f t="shared" si="42"/>
        <v>0</v>
      </c>
      <c r="H341" s="2" t="str">
        <f t="shared" si="43"/>
        <v>6</v>
      </c>
      <c r="I341" s="8" t="str">
        <f t="shared" si="44"/>
        <v>3(3</v>
      </c>
      <c r="J341" s="8" t="str">
        <f t="shared" si="45"/>
        <v>6)</v>
      </c>
      <c r="K341" s="8" t="str">
        <f t="shared" si="46"/>
        <v>0-6)</v>
      </c>
    </row>
    <row r="342" spans="1:11">
      <c r="A342" s="1" t="s">
        <v>620</v>
      </c>
      <c r="B342" s="1" t="s">
        <v>692</v>
      </c>
      <c r="C342" s="1" t="s">
        <v>693</v>
      </c>
      <c r="D342" s="1" t="s">
        <v>6</v>
      </c>
      <c r="E342" s="9" t="str">
        <f t="shared" si="47"/>
        <v>3</v>
      </c>
      <c r="F342" s="11" t="str">
        <f t="shared" si="41"/>
        <v>3</v>
      </c>
      <c r="G342" s="10" t="str">
        <f t="shared" si="42"/>
        <v>0</v>
      </c>
      <c r="H342" s="2" t="str">
        <f t="shared" si="43"/>
        <v>6</v>
      </c>
      <c r="I342" s="8" t="str">
        <f t="shared" si="44"/>
        <v>3(3</v>
      </c>
      <c r="J342" s="8" t="str">
        <f t="shared" si="45"/>
        <v>6)</v>
      </c>
      <c r="K342" s="8" t="str">
        <f t="shared" si="46"/>
        <v>0-6)</v>
      </c>
    </row>
    <row r="343" spans="1:11">
      <c r="A343" s="1" t="s">
        <v>461</v>
      </c>
      <c r="B343" s="1" t="s">
        <v>623</v>
      </c>
      <c r="C343" s="1" t="s">
        <v>463</v>
      </c>
      <c r="D343" s="1" t="s">
        <v>6</v>
      </c>
      <c r="E343" s="9" t="str">
        <f t="shared" si="47"/>
        <v>3</v>
      </c>
      <c r="F343" s="11" t="str">
        <f t="shared" si="41"/>
        <v>3</v>
      </c>
      <c r="G343" s="10" t="str">
        <f t="shared" si="42"/>
        <v>0</v>
      </c>
      <c r="H343" s="2" t="str">
        <f t="shared" si="43"/>
        <v>6</v>
      </c>
      <c r="I343" s="8" t="str">
        <f t="shared" si="44"/>
        <v>3(3</v>
      </c>
      <c r="J343" s="8" t="str">
        <f t="shared" si="45"/>
        <v>6)</v>
      </c>
      <c r="K343" s="8" t="str">
        <f t="shared" si="46"/>
        <v>0-6)</v>
      </c>
    </row>
    <row r="344" spans="1:11">
      <c r="A344" s="1" t="s">
        <v>624</v>
      </c>
      <c r="B344" s="1" t="s">
        <v>625</v>
      </c>
      <c r="C344" s="1" t="s">
        <v>626</v>
      </c>
      <c r="D344" s="1" t="s">
        <v>6</v>
      </c>
      <c r="E344" s="9" t="str">
        <f t="shared" si="47"/>
        <v>3</v>
      </c>
      <c r="F344" s="11" t="str">
        <f t="shared" si="41"/>
        <v>3</v>
      </c>
      <c r="G344" s="10" t="str">
        <f t="shared" si="42"/>
        <v>0</v>
      </c>
      <c r="H344" s="2" t="str">
        <f t="shared" si="43"/>
        <v>6</v>
      </c>
      <c r="I344" s="8" t="str">
        <f t="shared" si="44"/>
        <v>3(3</v>
      </c>
      <c r="J344" s="8" t="str">
        <f t="shared" si="45"/>
        <v>6)</v>
      </c>
      <c r="K344" s="8" t="str">
        <f t="shared" si="46"/>
        <v>0-6)</v>
      </c>
    </row>
    <row r="345" spans="1:11">
      <c r="A345" s="1" t="s">
        <v>627</v>
      </c>
      <c r="B345" s="1" t="s">
        <v>628</v>
      </c>
      <c r="C345" s="1" t="s">
        <v>629</v>
      </c>
      <c r="D345" s="1" t="s">
        <v>18</v>
      </c>
      <c r="E345" s="9" t="str">
        <f t="shared" si="47"/>
        <v>3</v>
      </c>
      <c r="F345" s="11" t="str">
        <f t="shared" si="41"/>
        <v>2</v>
      </c>
      <c r="G345" s="10" t="str">
        <f t="shared" si="42"/>
        <v>2</v>
      </c>
      <c r="H345" s="2" t="str">
        <f t="shared" si="43"/>
        <v>5</v>
      </c>
      <c r="I345" s="8" t="str">
        <f t="shared" si="44"/>
        <v>3(2</v>
      </c>
      <c r="J345" s="8" t="str">
        <f t="shared" si="45"/>
        <v>5)</v>
      </c>
      <c r="K345" s="8" t="str">
        <f t="shared" si="46"/>
        <v>2-5)</v>
      </c>
    </row>
    <row r="346" spans="1:11">
      <c r="A346" s="1" t="s">
        <v>630</v>
      </c>
      <c r="B346" s="1" t="s">
        <v>631</v>
      </c>
      <c r="C346" s="1" t="s">
        <v>694</v>
      </c>
      <c r="D346" s="1" t="s">
        <v>6</v>
      </c>
      <c r="E346" s="9" t="str">
        <f t="shared" si="47"/>
        <v>3</v>
      </c>
      <c r="F346" s="11" t="str">
        <f t="shared" si="41"/>
        <v>3</v>
      </c>
      <c r="G346" s="10" t="str">
        <f t="shared" si="42"/>
        <v>0</v>
      </c>
      <c r="H346" s="2" t="str">
        <f t="shared" si="43"/>
        <v>6</v>
      </c>
      <c r="I346" s="8" t="str">
        <f t="shared" si="44"/>
        <v>3(3</v>
      </c>
      <c r="J346" s="8" t="str">
        <f t="shared" si="45"/>
        <v>6)</v>
      </c>
      <c r="K346" s="8" t="str">
        <f t="shared" si="46"/>
        <v>0-6)</v>
      </c>
    </row>
    <row r="347" spans="1:11">
      <c r="A347" s="1" t="s">
        <v>633</v>
      </c>
      <c r="B347" s="1" t="s">
        <v>634</v>
      </c>
      <c r="C347" s="1" t="s">
        <v>635</v>
      </c>
      <c r="D347" s="1" t="s">
        <v>6</v>
      </c>
      <c r="E347" s="9" t="str">
        <f t="shared" si="47"/>
        <v>3</v>
      </c>
      <c r="F347" s="11" t="str">
        <f t="shared" si="41"/>
        <v>3</v>
      </c>
      <c r="G347" s="10" t="str">
        <f t="shared" si="42"/>
        <v>0</v>
      </c>
      <c r="H347" s="2" t="str">
        <f t="shared" si="43"/>
        <v>6</v>
      </c>
      <c r="I347" s="8" t="str">
        <f t="shared" si="44"/>
        <v>3(3</v>
      </c>
      <c r="J347" s="8" t="str">
        <f t="shared" si="45"/>
        <v>6)</v>
      </c>
      <c r="K347" s="8" t="str">
        <f t="shared" si="46"/>
        <v>0-6)</v>
      </c>
    </row>
    <row r="348" spans="1:11">
      <c r="A348" s="1" t="s">
        <v>636</v>
      </c>
      <c r="B348" s="1" t="s">
        <v>637</v>
      </c>
      <c r="C348" s="1" t="s">
        <v>638</v>
      </c>
      <c r="D348" s="1" t="s">
        <v>6</v>
      </c>
      <c r="E348" s="9" t="str">
        <f t="shared" si="47"/>
        <v>3</v>
      </c>
      <c r="F348" s="11" t="str">
        <f t="shared" si="41"/>
        <v>3</v>
      </c>
      <c r="G348" s="10" t="str">
        <f t="shared" si="42"/>
        <v>0</v>
      </c>
      <c r="H348" s="2" t="str">
        <f t="shared" si="43"/>
        <v>6</v>
      </c>
      <c r="I348" s="8" t="str">
        <f t="shared" si="44"/>
        <v>3(3</v>
      </c>
      <c r="J348" s="8" t="str">
        <f t="shared" si="45"/>
        <v>6)</v>
      </c>
      <c r="K348" s="8" t="str">
        <f t="shared" si="46"/>
        <v>0-6)</v>
      </c>
    </row>
    <row r="349" spans="1:11">
      <c r="A349" s="1" t="s">
        <v>639</v>
      </c>
      <c r="B349" s="1" t="s">
        <v>640</v>
      </c>
      <c r="C349" s="1" t="s">
        <v>641</v>
      </c>
      <c r="D349" s="1" t="s">
        <v>642</v>
      </c>
      <c r="I349" s="2"/>
      <c r="J349" s="2"/>
      <c r="K349" s="2"/>
    </row>
    <row r="350" spans="1:11">
      <c r="A350" s="1" t="s">
        <v>643</v>
      </c>
      <c r="B350" s="1" t="s">
        <v>644</v>
      </c>
      <c r="C350" s="1" t="s">
        <v>645</v>
      </c>
      <c r="D350" s="1" t="s">
        <v>6</v>
      </c>
      <c r="E350" s="9" t="str">
        <f t="shared" si="47"/>
        <v>3</v>
      </c>
      <c r="F350" s="11" t="str">
        <f t="shared" si="41"/>
        <v>3</v>
      </c>
      <c r="G350" s="10" t="str">
        <f t="shared" si="42"/>
        <v>0</v>
      </c>
      <c r="H350" s="2" t="str">
        <f t="shared" si="43"/>
        <v>6</v>
      </c>
      <c r="I350" s="8" t="str">
        <f t="shared" si="44"/>
        <v>3(3</v>
      </c>
      <c r="J350" s="8" t="str">
        <f t="shared" si="45"/>
        <v>6)</v>
      </c>
      <c r="K350" s="8" t="str">
        <f t="shared" si="46"/>
        <v>0-6)</v>
      </c>
    </row>
    <row r="351" spans="1:11">
      <c r="A351" s="1" t="s">
        <v>646</v>
      </c>
      <c r="B351" s="1" t="s">
        <v>647</v>
      </c>
      <c r="C351" s="1" t="s">
        <v>648</v>
      </c>
      <c r="D351" s="1" t="s">
        <v>649</v>
      </c>
      <c r="I351" s="2"/>
      <c r="J351" s="2"/>
      <c r="K351" s="2"/>
    </row>
    <row r="352" spans="1:11">
      <c r="A352" s="1" t="s">
        <v>650</v>
      </c>
      <c r="B352" s="1" t="s">
        <v>651</v>
      </c>
      <c r="C352" s="1" t="s">
        <v>652</v>
      </c>
      <c r="D352" s="1" t="s">
        <v>200</v>
      </c>
      <c r="E352" s="9" t="str">
        <f t="shared" si="47"/>
        <v>2</v>
      </c>
      <c r="F352" s="11" t="str">
        <f t="shared" ref="F352:F414" si="48">RIGHT(I352,1)</f>
        <v>2</v>
      </c>
      <c r="G352" s="10" t="str">
        <f t="shared" ref="G352:G414" si="49">LEFT(K352,1)</f>
        <v>0</v>
      </c>
      <c r="H352" s="2" t="str">
        <f t="shared" ref="H352:H414" si="50">LEFT(J352,1)</f>
        <v>4</v>
      </c>
      <c r="I352" s="8" t="str">
        <f t="shared" ref="I352:I414" si="51">LEFT(D352,3)</f>
        <v>2(2</v>
      </c>
      <c r="J352" s="8" t="str">
        <f t="shared" ref="J352:J414" si="52">RIGHT(D352,2)</f>
        <v>4)</v>
      </c>
      <c r="K352" s="8" t="str">
        <f t="shared" ref="K352:K414" si="53">RIGHT(D352,4)</f>
        <v>0-4)</v>
      </c>
    </row>
    <row r="353" spans="1:11">
      <c r="A353" s="1" t="s">
        <v>653</v>
      </c>
      <c r="B353" s="1" t="s">
        <v>695</v>
      </c>
      <c r="C353" s="1" t="s">
        <v>655</v>
      </c>
      <c r="D353" s="1" t="s">
        <v>6</v>
      </c>
      <c r="E353" s="9" t="str">
        <f t="shared" si="47"/>
        <v>3</v>
      </c>
      <c r="F353" s="11" t="str">
        <f t="shared" si="48"/>
        <v>3</v>
      </c>
      <c r="G353" s="10" t="str">
        <f t="shared" si="49"/>
        <v>0</v>
      </c>
      <c r="H353" s="2" t="str">
        <f t="shared" si="50"/>
        <v>6</v>
      </c>
      <c r="I353" s="8" t="str">
        <f t="shared" si="51"/>
        <v>3(3</v>
      </c>
      <c r="J353" s="8" t="str">
        <f t="shared" si="52"/>
        <v>6)</v>
      </c>
      <c r="K353" s="8" t="str">
        <f t="shared" si="53"/>
        <v>0-6)</v>
      </c>
    </row>
    <row r="354" spans="1:11">
      <c r="A354" s="1" t="s">
        <v>656</v>
      </c>
      <c r="B354" s="1" t="s">
        <v>657</v>
      </c>
      <c r="C354" s="1" t="s">
        <v>696</v>
      </c>
      <c r="D354" s="1" t="s">
        <v>210</v>
      </c>
      <c r="E354" s="9" t="str">
        <f t="shared" si="47"/>
        <v>1</v>
      </c>
      <c r="F354" s="11" t="str">
        <f t="shared" si="48"/>
        <v>0</v>
      </c>
      <c r="G354" s="10" t="str">
        <f t="shared" si="49"/>
        <v>3</v>
      </c>
      <c r="H354" s="2" t="str">
        <f t="shared" si="50"/>
        <v>0</v>
      </c>
      <c r="I354" s="8" t="str">
        <f t="shared" si="51"/>
        <v>1(0</v>
      </c>
      <c r="J354" s="8" t="str">
        <f t="shared" si="52"/>
        <v>0)</v>
      </c>
      <c r="K354" s="8" t="str">
        <f t="shared" si="53"/>
        <v>3-0)</v>
      </c>
    </row>
    <row r="355" spans="1:11">
      <c r="A355" s="1" t="s">
        <v>658</v>
      </c>
      <c r="B355" s="1" t="s">
        <v>659</v>
      </c>
      <c r="C355" s="1" t="s">
        <v>660</v>
      </c>
      <c r="D355" s="1" t="s">
        <v>200</v>
      </c>
      <c r="E355" s="9" t="str">
        <f t="shared" si="47"/>
        <v>2</v>
      </c>
      <c r="F355" s="11" t="str">
        <f t="shared" si="48"/>
        <v>2</v>
      </c>
      <c r="G355" s="10" t="str">
        <f t="shared" si="49"/>
        <v>0</v>
      </c>
      <c r="H355" s="2" t="str">
        <f t="shared" si="50"/>
        <v>4</v>
      </c>
      <c r="I355" s="8" t="str">
        <f t="shared" si="51"/>
        <v>2(2</v>
      </c>
      <c r="J355" s="8" t="str">
        <f t="shared" si="52"/>
        <v>4)</v>
      </c>
      <c r="K355" s="8" t="str">
        <f t="shared" si="53"/>
        <v>0-4)</v>
      </c>
    </row>
    <row r="356" spans="1:11">
      <c r="A356" s="1" t="s">
        <v>661</v>
      </c>
      <c r="B356" s="1" t="s">
        <v>697</v>
      </c>
      <c r="C356" s="1" t="s">
        <v>663</v>
      </c>
      <c r="D356" s="1" t="s">
        <v>6</v>
      </c>
      <c r="E356" s="9" t="str">
        <f t="shared" si="47"/>
        <v>3</v>
      </c>
      <c r="F356" s="11" t="str">
        <f t="shared" si="48"/>
        <v>3</v>
      </c>
      <c r="G356" s="10" t="str">
        <f t="shared" si="49"/>
        <v>0</v>
      </c>
      <c r="H356" s="2" t="str">
        <f t="shared" si="50"/>
        <v>6</v>
      </c>
      <c r="I356" s="8" t="str">
        <f t="shared" si="51"/>
        <v>3(3</v>
      </c>
      <c r="J356" s="8" t="str">
        <f t="shared" si="52"/>
        <v>6)</v>
      </c>
      <c r="K356" s="8" t="str">
        <f t="shared" si="53"/>
        <v>0-6)</v>
      </c>
    </row>
    <row r="357" spans="1:11">
      <c r="A357" s="1" t="s">
        <v>664</v>
      </c>
      <c r="B357" s="1" t="s">
        <v>665</v>
      </c>
      <c r="C357" s="1" t="s">
        <v>698</v>
      </c>
      <c r="D357" s="1" t="s">
        <v>200</v>
      </c>
      <c r="E357" s="9" t="str">
        <f t="shared" si="47"/>
        <v>2</v>
      </c>
      <c r="F357" s="11" t="str">
        <f t="shared" si="48"/>
        <v>2</v>
      </c>
      <c r="G357" s="10" t="str">
        <f t="shared" si="49"/>
        <v>0</v>
      </c>
      <c r="H357" s="2" t="str">
        <f t="shared" si="50"/>
        <v>4</v>
      </c>
      <c r="I357" s="8" t="str">
        <f t="shared" si="51"/>
        <v>2(2</v>
      </c>
      <c r="J357" s="8" t="str">
        <f t="shared" si="52"/>
        <v>4)</v>
      </c>
      <c r="K357" s="8" t="str">
        <f t="shared" si="53"/>
        <v>0-4)</v>
      </c>
    </row>
    <row r="358" spans="1:11">
      <c r="A358" s="1" t="s">
        <v>667</v>
      </c>
      <c r="B358" s="1" t="s">
        <v>668</v>
      </c>
      <c r="C358" s="1" t="s">
        <v>699</v>
      </c>
      <c r="D358" s="1" t="s">
        <v>200</v>
      </c>
      <c r="E358" s="9" t="str">
        <f t="shared" si="47"/>
        <v>2</v>
      </c>
      <c r="F358" s="11" t="str">
        <f t="shared" si="48"/>
        <v>2</v>
      </c>
      <c r="G358" s="10" t="str">
        <f t="shared" si="49"/>
        <v>0</v>
      </c>
      <c r="H358" s="2" t="str">
        <f t="shared" si="50"/>
        <v>4</v>
      </c>
      <c r="I358" s="8" t="str">
        <f t="shared" si="51"/>
        <v>2(2</v>
      </c>
      <c r="J358" s="8" t="str">
        <f t="shared" si="52"/>
        <v>4)</v>
      </c>
      <c r="K358" s="8" t="str">
        <f t="shared" si="53"/>
        <v>0-4)</v>
      </c>
    </row>
    <row r="359" spans="1:11">
      <c r="A359" s="1" t="s">
        <v>670</v>
      </c>
      <c r="B359" s="1" t="s">
        <v>671</v>
      </c>
      <c r="C359" s="1" t="s">
        <v>672</v>
      </c>
      <c r="D359" s="1" t="s">
        <v>200</v>
      </c>
      <c r="E359" s="9" t="str">
        <f t="shared" si="47"/>
        <v>2</v>
      </c>
      <c r="F359" s="11" t="str">
        <f t="shared" si="48"/>
        <v>2</v>
      </c>
      <c r="G359" s="10" t="str">
        <f t="shared" si="49"/>
        <v>0</v>
      </c>
      <c r="H359" s="2" t="str">
        <f t="shared" si="50"/>
        <v>4</v>
      </c>
      <c r="I359" s="8" t="str">
        <f t="shared" si="51"/>
        <v>2(2</v>
      </c>
      <c r="J359" s="8" t="str">
        <f t="shared" si="52"/>
        <v>4)</v>
      </c>
      <c r="K359" s="8" t="str">
        <f t="shared" si="53"/>
        <v>0-4)</v>
      </c>
    </row>
    <row r="360" spans="1:11">
      <c r="A360" s="1" t="s">
        <v>673</v>
      </c>
      <c r="B360" s="1" t="s">
        <v>674</v>
      </c>
      <c r="C360" s="1" t="s">
        <v>675</v>
      </c>
      <c r="D360" s="1" t="s">
        <v>200</v>
      </c>
      <c r="E360" s="9" t="str">
        <f t="shared" si="47"/>
        <v>2</v>
      </c>
      <c r="F360" s="11" t="str">
        <f t="shared" si="48"/>
        <v>2</v>
      </c>
      <c r="G360" s="10" t="str">
        <f t="shared" si="49"/>
        <v>0</v>
      </c>
      <c r="H360" s="2" t="str">
        <f t="shared" si="50"/>
        <v>4</v>
      </c>
      <c r="I360" s="8" t="str">
        <f t="shared" si="51"/>
        <v>2(2</v>
      </c>
      <c r="J360" s="8" t="str">
        <f t="shared" si="52"/>
        <v>4)</v>
      </c>
      <c r="K360" s="8" t="str">
        <f t="shared" si="53"/>
        <v>0-4)</v>
      </c>
    </row>
    <row r="361" spans="1:11">
      <c r="A361" s="1" t="s">
        <v>676</v>
      </c>
      <c r="B361" s="1" t="s">
        <v>677</v>
      </c>
      <c r="C361" s="1" t="s">
        <v>700</v>
      </c>
      <c r="D361" s="1" t="s">
        <v>200</v>
      </c>
      <c r="E361" s="9" t="str">
        <f t="shared" si="47"/>
        <v>2</v>
      </c>
      <c r="F361" s="11" t="str">
        <f t="shared" si="48"/>
        <v>2</v>
      </c>
      <c r="G361" s="10" t="str">
        <f t="shared" si="49"/>
        <v>0</v>
      </c>
      <c r="H361" s="2" t="str">
        <f t="shared" si="50"/>
        <v>4</v>
      </c>
      <c r="I361" s="8" t="str">
        <f t="shared" si="51"/>
        <v>2(2</v>
      </c>
      <c r="J361" s="8" t="str">
        <f t="shared" si="52"/>
        <v>4)</v>
      </c>
      <c r="K361" s="8" t="str">
        <f t="shared" si="53"/>
        <v>0-4)</v>
      </c>
    </row>
    <row r="362" spans="1:11">
      <c r="A362" s="1" t="s">
        <v>679</v>
      </c>
      <c r="B362" s="1" t="s">
        <v>680</v>
      </c>
      <c r="C362" s="1" t="s">
        <v>681</v>
      </c>
      <c r="D362" s="1" t="s">
        <v>200</v>
      </c>
      <c r="E362" s="9" t="str">
        <f t="shared" si="47"/>
        <v>2</v>
      </c>
      <c r="F362" s="11" t="str">
        <f t="shared" si="48"/>
        <v>2</v>
      </c>
      <c r="G362" s="10" t="str">
        <f t="shared" si="49"/>
        <v>0</v>
      </c>
      <c r="H362" s="2" t="str">
        <f t="shared" si="50"/>
        <v>4</v>
      </c>
      <c r="I362" s="8" t="str">
        <f t="shared" si="51"/>
        <v>2(2</v>
      </c>
      <c r="J362" s="8" t="str">
        <f t="shared" si="52"/>
        <v>4)</v>
      </c>
      <c r="K362" s="8" t="str">
        <f t="shared" si="53"/>
        <v>0-4)</v>
      </c>
    </row>
    <row r="363" spans="1:11">
      <c r="A363" s="1" t="s">
        <v>682</v>
      </c>
      <c r="B363" s="1" t="s">
        <v>683</v>
      </c>
      <c r="C363" s="1" t="s">
        <v>684</v>
      </c>
      <c r="D363" s="1" t="s">
        <v>685</v>
      </c>
      <c r="I363" s="2"/>
      <c r="J363" s="2"/>
      <c r="K363" s="2"/>
    </row>
    <row r="364" spans="1:11">
      <c r="A364" s="1" t="s">
        <v>342</v>
      </c>
      <c r="B364" s="1" t="s">
        <v>343</v>
      </c>
      <c r="C364" s="1" t="s">
        <v>344</v>
      </c>
      <c r="D364" s="1" t="s">
        <v>345</v>
      </c>
      <c r="E364" s="9" t="str">
        <f t="shared" si="47"/>
        <v>2</v>
      </c>
      <c r="F364" s="11" t="str">
        <f t="shared" si="48"/>
        <v>1</v>
      </c>
      <c r="G364" s="10" t="str">
        <f t="shared" si="49"/>
        <v>3</v>
      </c>
      <c r="H364" s="2" t="str">
        <f t="shared" si="50"/>
        <v>3</v>
      </c>
      <c r="I364" s="8" t="str">
        <f t="shared" si="51"/>
        <v>2(1</v>
      </c>
      <c r="J364" s="8" t="str">
        <f t="shared" si="52"/>
        <v>3)</v>
      </c>
      <c r="K364" s="8" t="str">
        <f t="shared" si="53"/>
        <v>3-3)</v>
      </c>
    </row>
    <row r="365" spans="1:11">
      <c r="A365" s="1" t="s">
        <v>346</v>
      </c>
      <c r="B365" s="1" t="s">
        <v>347</v>
      </c>
      <c r="C365" s="1" t="s">
        <v>218</v>
      </c>
      <c r="D365" s="1" t="s">
        <v>348</v>
      </c>
      <c r="E365" s="9" t="str">
        <f t="shared" si="47"/>
        <v>3</v>
      </c>
      <c r="F365" s="11" t="str">
        <f t="shared" si="48"/>
        <v>2</v>
      </c>
      <c r="G365" s="10" t="str">
        <f t="shared" si="49"/>
        <v>3</v>
      </c>
      <c r="H365" s="2" t="str">
        <f t="shared" si="50"/>
        <v>5</v>
      </c>
      <c r="I365" s="8" t="str">
        <f t="shared" si="51"/>
        <v>3(2</v>
      </c>
      <c r="J365" s="8" t="str">
        <f t="shared" si="52"/>
        <v>5)</v>
      </c>
      <c r="K365" s="8" t="str">
        <f t="shared" si="53"/>
        <v>3-5)</v>
      </c>
    </row>
    <row r="366" spans="1:11">
      <c r="A366" s="1" t="s">
        <v>349</v>
      </c>
      <c r="B366" s="1" t="s">
        <v>350</v>
      </c>
      <c r="C366" s="1" t="s">
        <v>351</v>
      </c>
      <c r="D366" s="1" t="s">
        <v>200</v>
      </c>
      <c r="E366" s="9" t="str">
        <f t="shared" si="47"/>
        <v>2</v>
      </c>
      <c r="F366" s="11" t="str">
        <f t="shared" si="48"/>
        <v>2</v>
      </c>
      <c r="G366" s="10" t="str">
        <f t="shared" si="49"/>
        <v>0</v>
      </c>
      <c r="H366" s="2" t="str">
        <f t="shared" si="50"/>
        <v>4</v>
      </c>
      <c r="I366" s="8" t="str">
        <f t="shared" si="51"/>
        <v>2(2</v>
      </c>
      <c r="J366" s="8" t="str">
        <f t="shared" si="52"/>
        <v>4)</v>
      </c>
      <c r="K366" s="8" t="str">
        <f t="shared" si="53"/>
        <v>0-4)</v>
      </c>
    </row>
    <row r="367" spans="1:11">
      <c r="A367" s="1" t="s">
        <v>352</v>
      </c>
      <c r="B367" s="1" t="s">
        <v>353</v>
      </c>
      <c r="C367" s="1" t="s">
        <v>354</v>
      </c>
      <c r="D367" s="1" t="s">
        <v>345</v>
      </c>
      <c r="E367" s="9" t="str">
        <f t="shared" si="47"/>
        <v>2</v>
      </c>
      <c r="F367" s="11" t="str">
        <f t="shared" si="48"/>
        <v>1</v>
      </c>
      <c r="G367" s="10" t="str">
        <f t="shared" si="49"/>
        <v>3</v>
      </c>
      <c r="H367" s="2" t="str">
        <f t="shared" si="50"/>
        <v>3</v>
      </c>
      <c r="I367" s="8" t="str">
        <f t="shared" si="51"/>
        <v>2(1</v>
      </c>
      <c r="J367" s="8" t="str">
        <f t="shared" si="52"/>
        <v>3)</v>
      </c>
      <c r="K367" s="8" t="str">
        <f t="shared" si="53"/>
        <v>3-3)</v>
      </c>
    </row>
    <row r="368" spans="1:11">
      <c r="A368" s="1" t="s">
        <v>701</v>
      </c>
      <c r="B368" s="1" t="s">
        <v>702</v>
      </c>
      <c r="C368" s="1" t="s">
        <v>703</v>
      </c>
      <c r="D368" s="1" t="s">
        <v>345</v>
      </c>
      <c r="E368" s="9" t="str">
        <f t="shared" si="47"/>
        <v>2</v>
      </c>
      <c r="F368" s="11" t="str">
        <f t="shared" si="48"/>
        <v>1</v>
      </c>
      <c r="G368" s="10" t="str">
        <f t="shared" si="49"/>
        <v>3</v>
      </c>
      <c r="H368" s="2" t="str">
        <f t="shared" si="50"/>
        <v>3</v>
      </c>
      <c r="I368" s="8" t="str">
        <f t="shared" si="51"/>
        <v>2(1</v>
      </c>
      <c r="J368" s="8" t="str">
        <f t="shared" si="52"/>
        <v>3)</v>
      </c>
      <c r="K368" s="8" t="str">
        <f t="shared" si="53"/>
        <v>3-3)</v>
      </c>
    </row>
    <row r="369" spans="1:11">
      <c r="A369" s="1" t="s">
        <v>367</v>
      </c>
      <c r="B369" s="1" t="s">
        <v>368</v>
      </c>
      <c r="C369" s="1" t="s">
        <v>369</v>
      </c>
      <c r="D369" s="1" t="s">
        <v>345</v>
      </c>
      <c r="E369" s="9" t="str">
        <f t="shared" si="47"/>
        <v>2</v>
      </c>
      <c r="F369" s="11" t="str">
        <f t="shared" si="48"/>
        <v>1</v>
      </c>
      <c r="G369" s="10" t="str">
        <f t="shared" si="49"/>
        <v>3</v>
      </c>
      <c r="H369" s="2" t="str">
        <f t="shared" si="50"/>
        <v>3</v>
      </c>
      <c r="I369" s="8" t="str">
        <f t="shared" si="51"/>
        <v>2(1</v>
      </c>
      <c r="J369" s="8" t="str">
        <f t="shared" si="52"/>
        <v>3)</v>
      </c>
      <c r="K369" s="8" t="str">
        <f t="shared" si="53"/>
        <v>3-3)</v>
      </c>
    </row>
    <row r="370" spans="1:11">
      <c r="A370" s="1" t="s">
        <v>370</v>
      </c>
      <c r="B370" s="1" t="s">
        <v>371</v>
      </c>
      <c r="C370" s="1" t="s">
        <v>372</v>
      </c>
      <c r="D370" s="1" t="s">
        <v>348</v>
      </c>
      <c r="E370" s="9" t="str">
        <f t="shared" si="47"/>
        <v>3</v>
      </c>
      <c r="F370" s="11" t="str">
        <f t="shared" si="48"/>
        <v>2</v>
      </c>
      <c r="G370" s="10" t="str">
        <f t="shared" si="49"/>
        <v>3</v>
      </c>
      <c r="H370" s="2" t="str">
        <f t="shared" si="50"/>
        <v>5</v>
      </c>
      <c r="I370" s="8" t="str">
        <f t="shared" si="51"/>
        <v>3(2</v>
      </c>
      <c r="J370" s="8" t="str">
        <f t="shared" si="52"/>
        <v>5)</v>
      </c>
      <c r="K370" s="8" t="str">
        <f t="shared" si="53"/>
        <v>3-5)</v>
      </c>
    </row>
    <row r="371" spans="1:11">
      <c r="A371" s="1" t="s">
        <v>704</v>
      </c>
      <c r="B371" s="1" t="s">
        <v>373</v>
      </c>
      <c r="C371" s="1" t="s">
        <v>374</v>
      </c>
      <c r="D371" s="1" t="s">
        <v>345</v>
      </c>
      <c r="E371" s="9" t="str">
        <f t="shared" si="47"/>
        <v>2</v>
      </c>
      <c r="F371" s="11" t="str">
        <f t="shared" si="48"/>
        <v>1</v>
      </c>
      <c r="G371" s="10" t="str">
        <f t="shared" si="49"/>
        <v>3</v>
      </c>
      <c r="H371" s="2" t="str">
        <f t="shared" si="50"/>
        <v>3</v>
      </c>
      <c r="I371" s="8" t="str">
        <f t="shared" si="51"/>
        <v>2(1</v>
      </c>
      <c r="J371" s="8" t="str">
        <f t="shared" si="52"/>
        <v>3)</v>
      </c>
      <c r="K371" s="8" t="str">
        <f t="shared" si="53"/>
        <v>3-3)</v>
      </c>
    </row>
    <row r="372" spans="1:11">
      <c r="A372" s="1" t="s">
        <v>705</v>
      </c>
      <c r="B372" s="1" t="s">
        <v>375</v>
      </c>
      <c r="C372" s="1" t="s">
        <v>376</v>
      </c>
      <c r="D372" s="1" t="s">
        <v>345</v>
      </c>
      <c r="E372" s="9" t="str">
        <f t="shared" si="47"/>
        <v>2</v>
      </c>
      <c r="F372" s="11" t="str">
        <f t="shared" si="48"/>
        <v>1</v>
      </c>
      <c r="G372" s="10" t="str">
        <f t="shared" si="49"/>
        <v>3</v>
      </c>
      <c r="H372" s="2" t="str">
        <f t="shared" si="50"/>
        <v>3</v>
      </c>
      <c r="I372" s="8" t="str">
        <f t="shared" si="51"/>
        <v>2(1</v>
      </c>
      <c r="J372" s="8" t="str">
        <f t="shared" si="52"/>
        <v>3)</v>
      </c>
      <c r="K372" s="8" t="str">
        <f t="shared" si="53"/>
        <v>3-3)</v>
      </c>
    </row>
    <row r="373" spans="1:11">
      <c r="A373" s="1" t="s">
        <v>706</v>
      </c>
      <c r="B373" s="1" t="s">
        <v>377</v>
      </c>
      <c r="C373" s="1" t="s">
        <v>378</v>
      </c>
      <c r="D373" s="1" t="s">
        <v>345</v>
      </c>
      <c r="E373" s="9" t="str">
        <f t="shared" si="47"/>
        <v>2</v>
      </c>
      <c r="F373" s="11" t="str">
        <f t="shared" si="48"/>
        <v>1</v>
      </c>
      <c r="G373" s="10" t="str">
        <f t="shared" si="49"/>
        <v>3</v>
      </c>
      <c r="H373" s="2" t="str">
        <f t="shared" si="50"/>
        <v>3</v>
      </c>
      <c r="I373" s="8" t="str">
        <f t="shared" si="51"/>
        <v>2(1</v>
      </c>
      <c r="J373" s="8" t="str">
        <f t="shared" si="52"/>
        <v>3)</v>
      </c>
      <c r="K373" s="8" t="str">
        <f t="shared" si="53"/>
        <v>3-3)</v>
      </c>
    </row>
    <row r="374" spans="1:11">
      <c r="A374" s="1" t="s">
        <v>707</v>
      </c>
      <c r="B374" s="1" t="s">
        <v>379</v>
      </c>
      <c r="C374" s="1" t="s">
        <v>380</v>
      </c>
      <c r="D374" s="1" t="s">
        <v>345</v>
      </c>
      <c r="E374" s="9" t="str">
        <f t="shared" si="47"/>
        <v>2</v>
      </c>
      <c r="F374" s="11" t="str">
        <f t="shared" si="48"/>
        <v>1</v>
      </c>
      <c r="G374" s="10" t="str">
        <f t="shared" si="49"/>
        <v>3</v>
      </c>
      <c r="H374" s="2" t="str">
        <f t="shared" si="50"/>
        <v>3</v>
      </c>
      <c r="I374" s="8" t="str">
        <f t="shared" si="51"/>
        <v>2(1</v>
      </c>
      <c r="J374" s="8" t="str">
        <f t="shared" si="52"/>
        <v>3)</v>
      </c>
      <c r="K374" s="8" t="str">
        <f t="shared" si="53"/>
        <v>3-3)</v>
      </c>
    </row>
    <row r="375" spans="1:11">
      <c r="A375" s="1" t="s">
        <v>392</v>
      </c>
      <c r="B375" s="1" t="s">
        <v>393</v>
      </c>
      <c r="C375" s="1" t="s">
        <v>394</v>
      </c>
      <c r="D375" s="1" t="s">
        <v>200</v>
      </c>
      <c r="E375" s="9" t="str">
        <f t="shared" si="47"/>
        <v>2</v>
      </c>
      <c r="F375" s="11" t="str">
        <f t="shared" si="48"/>
        <v>2</v>
      </c>
      <c r="G375" s="10" t="str">
        <f t="shared" si="49"/>
        <v>0</v>
      </c>
      <c r="H375" s="2" t="str">
        <f t="shared" si="50"/>
        <v>4</v>
      </c>
      <c r="I375" s="8" t="str">
        <f t="shared" si="51"/>
        <v>2(2</v>
      </c>
      <c r="J375" s="8" t="str">
        <f t="shared" si="52"/>
        <v>4)</v>
      </c>
      <c r="K375" s="8" t="str">
        <f t="shared" si="53"/>
        <v>0-4)</v>
      </c>
    </row>
    <row r="376" spans="1:11">
      <c r="A376" s="1" t="s">
        <v>395</v>
      </c>
      <c r="B376" s="1" t="s">
        <v>396</v>
      </c>
      <c r="C376" s="1" t="s">
        <v>397</v>
      </c>
      <c r="D376" s="1" t="s">
        <v>200</v>
      </c>
      <c r="E376" s="9" t="str">
        <f t="shared" si="47"/>
        <v>2</v>
      </c>
      <c r="F376" s="11" t="str">
        <f t="shared" si="48"/>
        <v>2</v>
      </c>
      <c r="G376" s="10" t="str">
        <f t="shared" si="49"/>
        <v>0</v>
      </c>
      <c r="H376" s="2" t="str">
        <f t="shared" si="50"/>
        <v>4</v>
      </c>
      <c r="I376" s="8" t="str">
        <f t="shared" si="51"/>
        <v>2(2</v>
      </c>
      <c r="J376" s="8" t="str">
        <f t="shared" si="52"/>
        <v>4)</v>
      </c>
      <c r="K376" s="8" t="str">
        <f t="shared" si="53"/>
        <v>0-4)</v>
      </c>
    </row>
    <row r="377" spans="1:11">
      <c r="A377" s="1" t="s">
        <v>398</v>
      </c>
      <c r="B377" s="1" t="s">
        <v>252</v>
      </c>
      <c r="C377" s="1" t="s">
        <v>253</v>
      </c>
      <c r="D377" s="1" t="s">
        <v>6</v>
      </c>
      <c r="E377" s="9" t="str">
        <f t="shared" si="47"/>
        <v>3</v>
      </c>
      <c r="F377" s="11" t="str">
        <f t="shared" si="48"/>
        <v>3</v>
      </c>
      <c r="G377" s="10" t="str">
        <f t="shared" si="49"/>
        <v>0</v>
      </c>
      <c r="H377" s="2" t="str">
        <f t="shared" si="50"/>
        <v>6</v>
      </c>
      <c r="I377" s="8" t="str">
        <f t="shared" si="51"/>
        <v>3(3</v>
      </c>
      <c r="J377" s="8" t="str">
        <f t="shared" si="52"/>
        <v>6)</v>
      </c>
      <c r="K377" s="8" t="str">
        <f t="shared" si="53"/>
        <v>0-6)</v>
      </c>
    </row>
    <row r="378" spans="1:11">
      <c r="A378" s="1" t="s">
        <v>399</v>
      </c>
      <c r="B378" s="1" t="s">
        <v>400</v>
      </c>
      <c r="C378" s="1" t="s">
        <v>401</v>
      </c>
      <c r="D378" s="1" t="s">
        <v>18</v>
      </c>
      <c r="E378" s="9" t="str">
        <f t="shared" si="47"/>
        <v>3</v>
      </c>
      <c r="F378" s="11" t="str">
        <f t="shared" si="48"/>
        <v>2</v>
      </c>
      <c r="G378" s="10" t="str">
        <f t="shared" si="49"/>
        <v>2</v>
      </c>
      <c r="H378" s="2" t="str">
        <f t="shared" si="50"/>
        <v>5</v>
      </c>
      <c r="I378" s="8" t="str">
        <f t="shared" si="51"/>
        <v>3(2</v>
      </c>
      <c r="J378" s="8" t="str">
        <f t="shared" si="52"/>
        <v>5)</v>
      </c>
      <c r="K378" s="8" t="str">
        <f t="shared" si="53"/>
        <v>2-5)</v>
      </c>
    </row>
    <row r="379" spans="1:11">
      <c r="A379" s="1" t="s">
        <v>402</v>
      </c>
      <c r="B379" s="1" t="s">
        <v>403</v>
      </c>
      <c r="C379" s="1" t="s">
        <v>255</v>
      </c>
      <c r="D379" s="1" t="s">
        <v>6</v>
      </c>
      <c r="E379" s="9" t="str">
        <f t="shared" si="47"/>
        <v>3</v>
      </c>
      <c r="F379" s="11" t="str">
        <f t="shared" si="48"/>
        <v>3</v>
      </c>
      <c r="G379" s="10" t="str">
        <f t="shared" si="49"/>
        <v>0</v>
      </c>
      <c r="H379" s="2" t="str">
        <f t="shared" si="50"/>
        <v>6</v>
      </c>
      <c r="I379" s="8" t="str">
        <f t="shared" si="51"/>
        <v>3(3</v>
      </c>
      <c r="J379" s="8" t="str">
        <f t="shared" si="52"/>
        <v>6)</v>
      </c>
      <c r="K379" s="8" t="str">
        <f t="shared" si="53"/>
        <v>0-6)</v>
      </c>
    </row>
    <row r="380" spans="1:11">
      <c r="A380" s="1" t="s">
        <v>404</v>
      </c>
      <c r="B380" s="1" t="s">
        <v>405</v>
      </c>
      <c r="C380" s="1" t="s">
        <v>406</v>
      </c>
      <c r="D380" s="1" t="s">
        <v>169</v>
      </c>
      <c r="E380" s="9" t="str">
        <f t="shared" si="47"/>
        <v>2</v>
      </c>
      <c r="F380" s="11" t="str">
        <f t="shared" si="48"/>
        <v>1</v>
      </c>
      <c r="G380" s="10" t="str">
        <f t="shared" si="49"/>
        <v>2</v>
      </c>
      <c r="H380" s="2" t="str">
        <f t="shared" si="50"/>
        <v>3</v>
      </c>
      <c r="I380" s="8" t="str">
        <f t="shared" si="51"/>
        <v>2(1</v>
      </c>
      <c r="J380" s="8" t="str">
        <f t="shared" si="52"/>
        <v>3)</v>
      </c>
      <c r="K380" s="8" t="str">
        <f t="shared" si="53"/>
        <v>2-3)</v>
      </c>
    </row>
    <row r="381" spans="1:11">
      <c r="A381" s="1" t="s">
        <v>407</v>
      </c>
      <c r="B381" s="1" t="s">
        <v>408</v>
      </c>
      <c r="C381" s="1" t="s">
        <v>409</v>
      </c>
      <c r="D381" s="1" t="s">
        <v>410</v>
      </c>
      <c r="E381" s="9" t="str">
        <f t="shared" si="47"/>
        <v>3</v>
      </c>
      <c r="F381" s="11" t="str">
        <f t="shared" si="48"/>
        <v>2</v>
      </c>
      <c r="G381" s="10" t="str">
        <f t="shared" si="49"/>
        <v>5</v>
      </c>
      <c r="H381" s="2" t="str">
        <f t="shared" si="50"/>
        <v xml:space="preserve"> </v>
      </c>
      <c r="I381" s="8" t="str">
        <f t="shared" si="51"/>
        <v>3(2</v>
      </c>
      <c r="J381" s="8" t="str">
        <f t="shared" si="52"/>
        <v xml:space="preserve">  </v>
      </c>
      <c r="K381" s="8" t="str">
        <f t="shared" si="53"/>
        <v xml:space="preserve">5)  </v>
      </c>
    </row>
    <row r="382" spans="1:11">
      <c r="A382" s="1" t="s">
        <v>411</v>
      </c>
      <c r="B382" s="1" t="s">
        <v>412</v>
      </c>
      <c r="C382" s="1" t="s">
        <v>269</v>
      </c>
      <c r="D382" s="1" t="s">
        <v>6</v>
      </c>
      <c r="E382" s="9" t="str">
        <f t="shared" si="47"/>
        <v>3</v>
      </c>
      <c r="F382" s="11" t="str">
        <f t="shared" si="48"/>
        <v>3</v>
      </c>
      <c r="G382" s="10" t="str">
        <f t="shared" si="49"/>
        <v>0</v>
      </c>
      <c r="H382" s="2" t="str">
        <f t="shared" si="50"/>
        <v>6</v>
      </c>
      <c r="I382" s="8" t="str">
        <f t="shared" si="51"/>
        <v>3(3</v>
      </c>
      <c r="J382" s="8" t="str">
        <f t="shared" si="52"/>
        <v>6)</v>
      </c>
      <c r="K382" s="8" t="str">
        <f t="shared" si="53"/>
        <v>0-6)</v>
      </c>
    </row>
    <row r="383" spans="1:11">
      <c r="A383" s="1" t="s">
        <v>413</v>
      </c>
      <c r="B383" s="1" t="s">
        <v>414</v>
      </c>
      <c r="C383" s="1" t="s">
        <v>415</v>
      </c>
      <c r="D383" s="1" t="s">
        <v>6</v>
      </c>
      <c r="E383" s="9" t="str">
        <f t="shared" si="47"/>
        <v>3</v>
      </c>
      <c r="F383" s="11" t="str">
        <f t="shared" si="48"/>
        <v>3</v>
      </c>
      <c r="G383" s="10" t="str">
        <f t="shared" si="49"/>
        <v>0</v>
      </c>
      <c r="H383" s="2" t="str">
        <f t="shared" si="50"/>
        <v>6</v>
      </c>
      <c r="I383" s="8" t="str">
        <f t="shared" si="51"/>
        <v>3(3</v>
      </c>
      <c r="J383" s="8" t="str">
        <f t="shared" si="52"/>
        <v>6)</v>
      </c>
      <c r="K383" s="8" t="str">
        <f t="shared" si="53"/>
        <v>0-6)</v>
      </c>
    </row>
    <row r="384" spans="1:11">
      <c r="A384" s="1" t="s">
        <v>416</v>
      </c>
      <c r="B384" s="1" t="s">
        <v>708</v>
      </c>
      <c r="C384" s="1" t="s">
        <v>418</v>
      </c>
      <c r="D384" s="1" t="s">
        <v>18</v>
      </c>
      <c r="E384" s="9" t="str">
        <f t="shared" si="47"/>
        <v>3</v>
      </c>
      <c r="F384" s="11" t="str">
        <f t="shared" si="48"/>
        <v>2</v>
      </c>
      <c r="G384" s="10" t="str">
        <f t="shared" si="49"/>
        <v>2</v>
      </c>
      <c r="H384" s="2" t="str">
        <f t="shared" si="50"/>
        <v>5</v>
      </c>
      <c r="I384" s="8" t="str">
        <f t="shared" si="51"/>
        <v>3(2</v>
      </c>
      <c r="J384" s="8" t="str">
        <f t="shared" si="52"/>
        <v>5)</v>
      </c>
      <c r="K384" s="8" t="str">
        <f t="shared" si="53"/>
        <v>2-5)</v>
      </c>
    </row>
    <row r="385" spans="1:11">
      <c r="A385" s="1" t="s">
        <v>262</v>
      </c>
      <c r="B385" s="1" t="s">
        <v>419</v>
      </c>
      <c r="C385" s="1" t="s">
        <v>264</v>
      </c>
      <c r="D385" s="1" t="s">
        <v>6</v>
      </c>
      <c r="E385" s="9" t="str">
        <f t="shared" si="47"/>
        <v>3</v>
      </c>
      <c r="F385" s="11" t="str">
        <f t="shared" si="48"/>
        <v>3</v>
      </c>
      <c r="G385" s="10" t="str">
        <f t="shared" si="49"/>
        <v>0</v>
      </c>
      <c r="H385" s="2" t="str">
        <f t="shared" si="50"/>
        <v>6</v>
      </c>
      <c r="I385" s="8" t="str">
        <f t="shared" si="51"/>
        <v>3(3</v>
      </c>
      <c r="J385" s="8" t="str">
        <f t="shared" si="52"/>
        <v>6)</v>
      </c>
      <c r="K385" s="8" t="str">
        <f t="shared" si="53"/>
        <v>0-6)</v>
      </c>
    </row>
    <row r="386" spans="1:11">
      <c r="A386" s="1" t="s">
        <v>420</v>
      </c>
      <c r="B386" s="1" t="s">
        <v>421</v>
      </c>
      <c r="C386" s="1" t="s">
        <v>422</v>
      </c>
      <c r="D386" s="1" t="s">
        <v>200</v>
      </c>
      <c r="E386" s="9" t="str">
        <f t="shared" si="47"/>
        <v>2</v>
      </c>
      <c r="F386" s="11" t="str">
        <f t="shared" si="48"/>
        <v>2</v>
      </c>
      <c r="G386" s="10" t="str">
        <f t="shared" si="49"/>
        <v>0</v>
      </c>
      <c r="H386" s="2" t="str">
        <f t="shared" si="50"/>
        <v>4</v>
      </c>
      <c r="I386" s="8" t="str">
        <f t="shared" si="51"/>
        <v>2(2</v>
      </c>
      <c r="J386" s="8" t="str">
        <f t="shared" si="52"/>
        <v>4)</v>
      </c>
      <c r="K386" s="8" t="str">
        <f t="shared" si="53"/>
        <v>0-4)</v>
      </c>
    </row>
    <row r="387" spans="1:11">
      <c r="A387" s="1" t="s">
        <v>423</v>
      </c>
      <c r="B387" s="1" t="s">
        <v>709</v>
      </c>
      <c r="C387" s="1" t="s">
        <v>425</v>
      </c>
      <c r="D387" s="1" t="s">
        <v>18</v>
      </c>
      <c r="E387" s="9" t="str">
        <f t="shared" si="47"/>
        <v>3</v>
      </c>
      <c r="F387" s="11" t="str">
        <f t="shared" si="48"/>
        <v>2</v>
      </c>
      <c r="G387" s="10" t="str">
        <f t="shared" si="49"/>
        <v>2</v>
      </c>
      <c r="H387" s="2" t="str">
        <f t="shared" si="50"/>
        <v>5</v>
      </c>
      <c r="I387" s="8" t="str">
        <f t="shared" si="51"/>
        <v>3(2</v>
      </c>
      <c r="J387" s="8" t="str">
        <f t="shared" si="52"/>
        <v>5)</v>
      </c>
      <c r="K387" s="8" t="str">
        <f t="shared" si="53"/>
        <v>2-5)</v>
      </c>
    </row>
    <row r="388" spans="1:11">
      <c r="A388" s="1" t="s">
        <v>426</v>
      </c>
      <c r="B388" s="1" t="s">
        <v>427</v>
      </c>
      <c r="C388" s="1" t="s">
        <v>428</v>
      </c>
      <c r="D388" s="1" t="s">
        <v>18</v>
      </c>
      <c r="E388" s="9" t="str">
        <f t="shared" ref="E388:E418" si="54">LEFT(D388,1)</f>
        <v>3</v>
      </c>
      <c r="F388" s="11" t="str">
        <f t="shared" si="48"/>
        <v>2</v>
      </c>
      <c r="G388" s="10" t="str">
        <f t="shared" si="49"/>
        <v>2</v>
      </c>
      <c r="H388" s="2" t="str">
        <f t="shared" si="50"/>
        <v>5</v>
      </c>
      <c r="I388" s="8" t="str">
        <f t="shared" si="51"/>
        <v>3(2</v>
      </c>
      <c r="J388" s="8" t="str">
        <f t="shared" si="52"/>
        <v>5)</v>
      </c>
      <c r="K388" s="8" t="str">
        <f t="shared" si="53"/>
        <v>2-5)</v>
      </c>
    </row>
    <row r="389" spans="1:11">
      <c r="A389" s="1" t="s">
        <v>429</v>
      </c>
      <c r="B389" s="1" t="s">
        <v>430</v>
      </c>
      <c r="C389" s="1" t="s">
        <v>431</v>
      </c>
      <c r="D389" s="1" t="s">
        <v>18</v>
      </c>
      <c r="E389" s="9" t="str">
        <f t="shared" si="54"/>
        <v>3</v>
      </c>
      <c r="F389" s="11" t="str">
        <f t="shared" si="48"/>
        <v>2</v>
      </c>
      <c r="G389" s="10" t="str">
        <f t="shared" si="49"/>
        <v>2</v>
      </c>
      <c r="H389" s="2" t="str">
        <f t="shared" si="50"/>
        <v>5</v>
      </c>
      <c r="I389" s="8" t="str">
        <f t="shared" si="51"/>
        <v>3(2</v>
      </c>
      <c r="J389" s="8" t="str">
        <f t="shared" si="52"/>
        <v>5)</v>
      </c>
      <c r="K389" s="8" t="str">
        <f t="shared" si="53"/>
        <v>2-5)</v>
      </c>
    </row>
    <row r="390" spans="1:11">
      <c r="A390" s="1" t="s">
        <v>432</v>
      </c>
      <c r="B390" s="1" t="s">
        <v>433</v>
      </c>
      <c r="C390" s="1" t="s">
        <v>434</v>
      </c>
      <c r="D390" s="1" t="s">
        <v>337</v>
      </c>
      <c r="E390" s="9" t="str">
        <f t="shared" si="54"/>
        <v>3</v>
      </c>
      <c r="F390" s="11" t="str">
        <f t="shared" si="48"/>
        <v>0</v>
      </c>
      <c r="G390" s="10" t="str">
        <f t="shared" si="49"/>
        <v>9</v>
      </c>
      <c r="H390" s="2" t="str">
        <f t="shared" si="50"/>
        <v>0</v>
      </c>
      <c r="I390" s="8" t="str">
        <f t="shared" si="51"/>
        <v>3(0</v>
      </c>
      <c r="J390" s="8" t="str">
        <f t="shared" si="52"/>
        <v>0)</v>
      </c>
      <c r="K390" s="8" t="str">
        <f t="shared" si="53"/>
        <v>9-0)</v>
      </c>
    </row>
    <row r="391" spans="1:11">
      <c r="A391" s="1" t="s">
        <v>439</v>
      </c>
      <c r="B391" s="1" t="s">
        <v>440</v>
      </c>
      <c r="C391" s="1" t="s">
        <v>441</v>
      </c>
      <c r="D391" s="1" t="s">
        <v>18</v>
      </c>
      <c r="E391" s="9" t="str">
        <f t="shared" si="54"/>
        <v>3</v>
      </c>
      <c r="F391" s="11" t="str">
        <f t="shared" si="48"/>
        <v>2</v>
      </c>
      <c r="G391" s="10" t="str">
        <f t="shared" si="49"/>
        <v>2</v>
      </c>
      <c r="H391" s="2" t="str">
        <f t="shared" si="50"/>
        <v>5</v>
      </c>
      <c r="I391" s="8" t="str">
        <f t="shared" si="51"/>
        <v>3(2</v>
      </c>
      <c r="J391" s="8" t="str">
        <f t="shared" si="52"/>
        <v>5)</v>
      </c>
      <c r="K391" s="8" t="str">
        <f t="shared" si="53"/>
        <v>2-5)</v>
      </c>
    </row>
    <row r="392" spans="1:11">
      <c r="A392" s="1" t="s">
        <v>416</v>
      </c>
      <c r="B392" s="1" t="s">
        <v>417</v>
      </c>
      <c r="C392" s="1" t="s">
        <v>418</v>
      </c>
      <c r="D392" s="1" t="s">
        <v>18</v>
      </c>
      <c r="E392" s="9" t="str">
        <f t="shared" si="54"/>
        <v>3</v>
      </c>
      <c r="F392" s="11" t="str">
        <f t="shared" si="48"/>
        <v>2</v>
      </c>
      <c r="G392" s="10" t="str">
        <f t="shared" si="49"/>
        <v>2</v>
      </c>
      <c r="H392" s="2" t="str">
        <f t="shared" si="50"/>
        <v>5</v>
      </c>
      <c r="I392" s="8" t="str">
        <f t="shared" si="51"/>
        <v>3(2</v>
      </c>
      <c r="J392" s="8" t="str">
        <f t="shared" si="52"/>
        <v>5)</v>
      </c>
      <c r="K392" s="8" t="str">
        <f t="shared" si="53"/>
        <v>2-5)</v>
      </c>
    </row>
    <row r="393" spans="1:11">
      <c r="A393" s="1" t="s">
        <v>297</v>
      </c>
      <c r="B393" s="1" t="s">
        <v>298</v>
      </c>
      <c r="C393" s="1" t="s">
        <v>299</v>
      </c>
      <c r="D393" s="1" t="s">
        <v>300</v>
      </c>
      <c r="I393" s="2"/>
      <c r="J393" s="2"/>
      <c r="K393" s="2"/>
    </row>
    <row r="394" spans="1:11">
      <c r="A394" s="1" t="s">
        <v>442</v>
      </c>
      <c r="B394" s="1" t="s">
        <v>443</v>
      </c>
      <c r="C394" s="1" t="s">
        <v>444</v>
      </c>
      <c r="D394" s="1" t="s">
        <v>18</v>
      </c>
      <c r="E394" s="9" t="str">
        <f t="shared" si="54"/>
        <v>3</v>
      </c>
      <c r="F394" s="11" t="str">
        <f t="shared" si="48"/>
        <v>2</v>
      </c>
      <c r="G394" s="10" t="str">
        <f t="shared" si="49"/>
        <v>2</v>
      </c>
      <c r="H394" s="2" t="str">
        <f t="shared" si="50"/>
        <v>5</v>
      </c>
      <c r="I394" s="8" t="str">
        <f t="shared" si="51"/>
        <v>3(2</v>
      </c>
      <c r="J394" s="8" t="str">
        <f t="shared" si="52"/>
        <v>5)</v>
      </c>
      <c r="K394" s="8" t="str">
        <f t="shared" si="53"/>
        <v>2-5)</v>
      </c>
    </row>
    <row r="395" spans="1:11">
      <c r="A395" s="1" t="s">
        <v>445</v>
      </c>
      <c r="B395" s="1" t="s">
        <v>446</v>
      </c>
      <c r="C395" s="1" t="s">
        <v>447</v>
      </c>
      <c r="D395" s="1" t="s">
        <v>18</v>
      </c>
      <c r="E395" s="9" t="str">
        <f t="shared" si="54"/>
        <v>3</v>
      </c>
      <c r="F395" s="11" t="str">
        <f t="shared" si="48"/>
        <v>2</v>
      </c>
      <c r="G395" s="10" t="str">
        <f t="shared" si="49"/>
        <v>2</v>
      </c>
      <c r="H395" s="2" t="str">
        <f t="shared" si="50"/>
        <v>5</v>
      </c>
      <c r="I395" s="8" t="str">
        <f t="shared" si="51"/>
        <v>3(2</v>
      </c>
      <c r="J395" s="8" t="str">
        <f t="shared" si="52"/>
        <v>5)</v>
      </c>
      <c r="K395" s="8" t="str">
        <f t="shared" si="53"/>
        <v>2-5)</v>
      </c>
    </row>
    <row r="396" spans="1:11">
      <c r="A396" s="1" t="s">
        <v>448</v>
      </c>
      <c r="B396" s="1" t="s">
        <v>710</v>
      </c>
      <c r="C396" s="1" t="s">
        <v>450</v>
      </c>
      <c r="D396" s="1" t="s">
        <v>169</v>
      </c>
      <c r="E396" s="9" t="str">
        <f t="shared" si="54"/>
        <v>2</v>
      </c>
      <c r="F396" s="11" t="str">
        <f t="shared" si="48"/>
        <v>1</v>
      </c>
      <c r="G396" s="10" t="str">
        <f t="shared" si="49"/>
        <v>2</v>
      </c>
      <c r="H396" s="2" t="str">
        <f t="shared" si="50"/>
        <v>3</v>
      </c>
      <c r="I396" s="8" t="str">
        <f t="shared" si="51"/>
        <v>2(1</v>
      </c>
      <c r="J396" s="8" t="str">
        <f t="shared" si="52"/>
        <v>3)</v>
      </c>
      <c r="K396" s="8" t="str">
        <f t="shared" si="53"/>
        <v>2-3)</v>
      </c>
    </row>
    <row r="397" spans="1:11">
      <c r="A397" s="1" t="s">
        <v>451</v>
      </c>
      <c r="B397" s="1" t="s">
        <v>452</v>
      </c>
      <c r="C397" s="1" t="s">
        <v>453</v>
      </c>
      <c r="D397" s="1" t="s">
        <v>454</v>
      </c>
      <c r="E397" s="9" t="str">
        <f t="shared" si="54"/>
        <v>3</v>
      </c>
      <c r="F397" s="11" t="str">
        <f t="shared" si="48"/>
        <v>0</v>
      </c>
      <c r="G397" s="10" t="str">
        <f t="shared" si="49"/>
        <v>6</v>
      </c>
      <c r="H397" s="2" t="str">
        <f t="shared" si="50"/>
        <v>0</v>
      </c>
      <c r="I397" s="8" t="str">
        <f t="shared" si="51"/>
        <v>3(0</v>
      </c>
      <c r="J397" s="8" t="str">
        <f t="shared" si="52"/>
        <v>0)</v>
      </c>
      <c r="K397" s="8" t="str">
        <f t="shared" si="53"/>
        <v>6-0)</v>
      </c>
    </row>
    <row r="398" spans="1:11">
      <c r="A398" s="1" t="s">
        <v>455</v>
      </c>
      <c r="B398" s="1" t="s">
        <v>456</v>
      </c>
      <c r="C398" s="1" t="s">
        <v>457</v>
      </c>
      <c r="D398" s="1" t="s">
        <v>169</v>
      </c>
      <c r="E398" s="9" t="str">
        <f t="shared" si="54"/>
        <v>2</v>
      </c>
      <c r="F398" s="11" t="str">
        <f t="shared" si="48"/>
        <v>1</v>
      </c>
      <c r="G398" s="10" t="str">
        <f t="shared" si="49"/>
        <v>2</v>
      </c>
      <c r="H398" s="2" t="str">
        <f t="shared" si="50"/>
        <v>3</v>
      </c>
      <c r="I398" s="8" t="str">
        <f t="shared" si="51"/>
        <v>2(1</v>
      </c>
      <c r="J398" s="8" t="str">
        <f t="shared" si="52"/>
        <v>3)</v>
      </c>
      <c r="K398" s="8" t="str">
        <f t="shared" si="53"/>
        <v>2-3)</v>
      </c>
    </row>
    <row r="399" spans="1:11">
      <c r="A399" s="1" t="s">
        <v>458</v>
      </c>
      <c r="B399" s="1" t="s">
        <v>459</v>
      </c>
      <c r="C399" s="1" t="s">
        <v>460</v>
      </c>
      <c r="D399" s="1" t="s">
        <v>169</v>
      </c>
      <c r="E399" s="9" t="str">
        <f t="shared" si="54"/>
        <v>2</v>
      </c>
      <c r="F399" s="11" t="str">
        <f t="shared" si="48"/>
        <v>1</v>
      </c>
      <c r="G399" s="10" t="str">
        <f t="shared" si="49"/>
        <v>2</v>
      </c>
      <c r="H399" s="2" t="str">
        <f t="shared" si="50"/>
        <v>3</v>
      </c>
      <c r="I399" s="8" t="str">
        <f t="shared" si="51"/>
        <v>2(1</v>
      </c>
      <c r="J399" s="8" t="str">
        <f t="shared" si="52"/>
        <v>3)</v>
      </c>
      <c r="K399" s="8" t="str">
        <f t="shared" si="53"/>
        <v>2-3)</v>
      </c>
    </row>
    <row r="400" spans="1:11">
      <c r="A400" s="1" t="s">
        <v>461</v>
      </c>
      <c r="B400" s="1" t="s">
        <v>462</v>
      </c>
      <c r="C400" s="1" t="s">
        <v>463</v>
      </c>
      <c r="D400" s="1" t="s">
        <v>6</v>
      </c>
      <c r="E400" s="9" t="str">
        <f t="shared" si="54"/>
        <v>3</v>
      </c>
      <c r="F400" s="11" t="str">
        <f t="shared" si="48"/>
        <v>3</v>
      </c>
      <c r="G400" s="10" t="str">
        <f t="shared" si="49"/>
        <v>0</v>
      </c>
      <c r="H400" s="2" t="str">
        <f t="shared" si="50"/>
        <v>6</v>
      </c>
      <c r="I400" s="8" t="str">
        <f t="shared" si="51"/>
        <v>3(3</v>
      </c>
      <c r="J400" s="8" t="str">
        <f t="shared" si="52"/>
        <v>6)</v>
      </c>
      <c r="K400" s="8" t="str">
        <f t="shared" si="53"/>
        <v>0-6)</v>
      </c>
    </row>
    <row r="401" spans="1:11">
      <c r="A401" s="1" t="s">
        <v>464</v>
      </c>
      <c r="B401" s="1" t="s">
        <v>465</v>
      </c>
      <c r="C401" s="1" t="s">
        <v>466</v>
      </c>
      <c r="D401" s="1" t="s">
        <v>6</v>
      </c>
      <c r="E401" s="9" t="str">
        <f t="shared" si="54"/>
        <v>3</v>
      </c>
      <c r="F401" s="11" t="str">
        <f t="shared" si="48"/>
        <v>3</v>
      </c>
      <c r="G401" s="10" t="str">
        <f t="shared" si="49"/>
        <v>0</v>
      </c>
      <c r="H401" s="2" t="str">
        <f t="shared" si="50"/>
        <v>6</v>
      </c>
      <c r="I401" s="8" t="str">
        <f t="shared" si="51"/>
        <v>3(3</v>
      </c>
      <c r="J401" s="8" t="str">
        <f t="shared" si="52"/>
        <v>6)</v>
      </c>
      <c r="K401" s="8" t="str">
        <f t="shared" si="53"/>
        <v>0-6)</v>
      </c>
    </row>
    <row r="402" spans="1:11">
      <c r="A402" s="1" t="s">
        <v>467</v>
      </c>
      <c r="B402" s="1" t="s">
        <v>468</v>
      </c>
      <c r="C402" s="1" t="s">
        <v>711</v>
      </c>
      <c r="D402" s="1" t="s">
        <v>470</v>
      </c>
      <c r="I402" s="2"/>
      <c r="J402" s="2"/>
      <c r="K402" s="2"/>
    </row>
    <row r="403" spans="1:11">
      <c r="A403" s="1" t="s">
        <v>471</v>
      </c>
      <c r="B403" s="1" t="s">
        <v>472</v>
      </c>
      <c r="C403" s="1" t="s">
        <v>473</v>
      </c>
      <c r="D403" s="1" t="s">
        <v>474</v>
      </c>
      <c r="E403" s="9" t="str">
        <f t="shared" si="54"/>
        <v>2</v>
      </c>
      <c r="F403" s="11" t="str">
        <f t="shared" si="48"/>
        <v>1</v>
      </c>
      <c r="G403" s="10" t="str">
        <f t="shared" si="49"/>
        <v>2</v>
      </c>
      <c r="H403" s="2" t="str">
        <f t="shared" si="50"/>
        <v>6</v>
      </c>
      <c r="I403" s="8" t="str">
        <f t="shared" si="51"/>
        <v>2(1</v>
      </c>
      <c r="J403" s="8" t="str">
        <f t="shared" si="52"/>
        <v>6)</v>
      </c>
      <c r="K403" s="8" t="str">
        <f t="shared" si="53"/>
        <v>2-6)</v>
      </c>
    </row>
    <row r="404" spans="1:11">
      <c r="A404" s="1" t="s">
        <v>475</v>
      </c>
      <c r="B404" s="1" t="s">
        <v>476</v>
      </c>
      <c r="C404" s="1" t="s">
        <v>712</v>
      </c>
      <c r="D404" s="1" t="s">
        <v>478</v>
      </c>
      <c r="E404" s="9" t="str">
        <f t="shared" si="54"/>
        <v>5</v>
      </c>
      <c r="F404" s="11" t="str">
        <f t="shared" si="48"/>
        <v>0</v>
      </c>
      <c r="G404" s="10" t="str">
        <f t="shared" si="49"/>
        <v>5</v>
      </c>
      <c r="H404" s="2" t="str">
        <f t="shared" si="50"/>
        <v>0</v>
      </c>
      <c r="I404" s="8" t="str">
        <f t="shared" si="51"/>
        <v>5(0</v>
      </c>
      <c r="J404" s="8" t="str">
        <f t="shared" si="52"/>
        <v>0)</v>
      </c>
      <c r="K404" s="8" t="str">
        <f t="shared" si="53"/>
        <v>5-0)</v>
      </c>
    </row>
    <row r="405" spans="1:11">
      <c r="A405" s="1" t="s">
        <v>713</v>
      </c>
      <c r="B405" s="1" t="s">
        <v>36</v>
      </c>
      <c r="C405" s="1" t="s">
        <v>37</v>
      </c>
      <c r="D405" s="1" t="s">
        <v>6</v>
      </c>
      <c r="E405" s="9" t="str">
        <f t="shared" si="54"/>
        <v>3</v>
      </c>
      <c r="F405" s="11" t="str">
        <f t="shared" si="48"/>
        <v>3</v>
      </c>
      <c r="G405" s="10" t="str">
        <f t="shared" si="49"/>
        <v>0</v>
      </c>
      <c r="H405" s="2" t="str">
        <f t="shared" si="50"/>
        <v>6</v>
      </c>
      <c r="I405" s="8" t="str">
        <f t="shared" si="51"/>
        <v>3(3</v>
      </c>
      <c r="J405" s="8" t="str">
        <f t="shared" si="52"/>
        <v>6)</v>
      </c>
      <c r="K405" s="8" t="str">
        <f t="shared" si="53"/>
        <v>0-6)</v>
      </c>
    </row>
    <row r="406" spans="1:11">
      <c r="A406" s="1" t="s">
        <v>714</v>
      </c>
      <c r="B406" s="1" t="s">
        <v>715</v>
      </c>
      <c r="C406" s="1" t="s">
        <v>40</v>
      </c>
      <c r="D406" s="1" t="s">
        <v>18</v>
      </c>
      <c r="E406" s="9" t="str">
        <f t="shared" si="54"/>
        <v>3</v>
      </c>
      <c r="F406" s="11" t="str">
        <f t="shared" si="48"/>
        <v>2</v>
      </c>
      <c r="G406" s="10" t="str">
        <f t="shared" si="49"/>
        <v>2</v>
      </c>
      <c r="H406" s="2" t="str">
        <f t="shared" si="50"/>
        <v>5</v>
      </c>
      <c r="I406" s="8" t="str">
        <f t="shared" si="51"/>
        <v>3(2</v>
      </c>
      <c r="J406" s="8" t="str">
        <f t="shared" si="52"/>
        <v>5)</v>
      </c>
      <c r="K406" s="8" t="str">
        <f t="shared" si="53"/>
        <v>2-5)</v>
      </c>
    </row>
    <row r="407" spans="1:11">
      <c r="A407" s="1" t="s">
        <v>716</v>
      </c>
      <c r="B407" s="1" t="s">
        <v>27</v>
      </c>
      <c r="C407" s="1" t="s">
        <v>28</v>
      </c>
      <c r="D407" s="1" t="s">
        <v>6</v>
      </c>
      <c r="E407" s="9" t="str">
        <f t="shared" si="54"/>
        <v>3</v>
      </c>
      <c r="F407" s="11" t="str">
        <f t="shared" si="48"/>
        <v>3</v>
      </c>
      <c r="G407" s="10" t="str">
        <f t="shared" si="49"/>
        <v>0</v>
      </c>
      <c r="H407" s="2" t="str">
        <f t="shared" si="50"/>
        <v>6</v>
      </c>
      <c r="I407" s="8" t="str">
        <f t="shared" si="51"/>
        <v>3(3</v>
      </c>
      <c r="J407" s="8" t="str">
        <f t="shared" si="52"/>
        <v>6)</v>
      </c>
      <c r="K407" s="8" t="str">
        <f t="shared" si="53"/>
        <v>0-6)</v>
      </c>
    </row>
    <row r="408" spans="1:11">
      <c r="A408" s="1" t="s">
        <v>717</v>
      </c>
      <c r="B408" s="1" t="s">
        <v>30</v>
      </c>
      <c r="C408" s="1" t="s">
        <v>31</v>
      </c>
      <c r="D408" s="1" t="s">
        <v>6</v>
      </c>
      <c r="E408" s="9" t="str">
        <f t="shared" si="54"/>
        <v>3</v>
      </c>
      <c r="F408" s="11" t="str">
        <f t="shared" si="48"/>
        <v>3</v>
      </c>
      <c r="G408" s="10" t="str">
        <f t="shared" si="49"/>
        <v>0</v>
      </c>
      <c r="H408" s="2" t="str">
        <f t="shared" si="50"/>
        <v>6</v>
      </c>
      <c r="I408" s="8" t="str">
        <f t="shared" si="51"/>
        <v>3(3</v>
      </c>
      <c r="J408" s="8" t="str">
        <f t="shared" si="52"/>
        <v>6)</v>
      </c>
      <c r="K408" s="8" t="str">
        <f t="shared" si="53"/>
        <v>0-6)</v>
      </c>
    </row>
    <row r="409" spans="1:11">
      <c r="A409" s="1" t="s">
        <v>718</v>
      </c>
      <c r="B409" s="1" t="s">
        <v>4</v>
      </c>
      <c r="C409" s="1" t="s">
        <v>5</v>
      </c>
      <c r="D409" s="1" t="s">
        <v>6</v>
      </c>
      <c r="E409" s="9" t="str">
        <f t="shared" si="54"/>
        <v>3</v>
      </c>
      <c r="F409" s="11" t="str">
        <f t="shared" si="48"/>
        <v>3</v>
      </c>
      <c r="G409" s="10" t="str">
        <f t="shared" si="49"/>
        <v>0</v>
      </c>
      <c r="H409" s="2" t="str">
        <f t="shared" si="50"/>
        <v>6</v>
      </c>
      <c r="I409" s="8" t="str">
        <f t="shared" si="51"/>
        <v>3(3</v>
      </c>
      <c r="J409" s="8" t="str">
        <f t="shared" si="52"/>
        <v>6)</v>
      </c>
      <c r="K409" s="8" t="str">
        <f t="shared" si="53"/>
        <v>0-6)</v>
      </c>
    </row>
    <row r="410" spans="1:11">
      <c r="A410" s="1" t="s">
        <v>719</v>
      </c>
      <c r="B410" s="1" t="s">
        <v>720</v>
      </c>
      <c r="C410" s="1" t="s">
        <v>721</v>
      </c>
      <c r="D410" s="1" t="s">
        <v>6</v>
      </c>
      <c r="E410" s="9" t="str">
        <f t="shared" si="54"/>
        <v>3</v>
      </c>
      <c r="F410" s="11" t="str">
        <f t="shared" si="48"/>
        <v>3</v>
      </c>
      <c r="G410" s="10" t="str">
        <f t="shared" si="49"/>
        <v>0</v>
      </c>
      <c r="H410" s="2" t="str">
        <f t="shared" si="50"/>
        <v>6</v>
      </c>
      <c r="I410" s="8" t="str">
        <f t="shared" si="51"/>
        <v>3(3</v>
      </c>
      <c r="J410" s="8" t="str">
        <f t="shared" si="52"/>
        <v>6)</v>
      </c>
      <c r="K410" s="8" t="str">
        <f t="shared" si="53"/>
        <v>0-6)</v>
      </c>
    </row>
    <row r="411" spans="1:11">
      <c r="A411" s="1" t="s">
        <v>54</v>
      </c>
      <c r="B411" s="1" t="s">
        <v>10</v>
      </c>
      <c r="C411" s="1" t="s">
        <v>11</v>
      </c>
      <c r="D411" s="1" t="s">
        <v>6</v>
      </c>
      <c r="E411" s="9" t="str">
        <f t="shared" si="54"/>
        <v>3</v>
      </c>
      <c r="F411" s="11" t="str">
        <f t="shared" si="48"/>
        <v>3</v>
      </c>
      <c r="G411" s="10" t="str">
        <f t="shared" si="49"/>
        <v>0</v>
      </c>
      <c r="H411" s="2" t="str">
        <f t="shared" si="50"/>
        <v>6</v>
      </c>
      <c r="I411" s="8" t="str">
        <f t="shared" si="51"/>
        <v>3(3</v>
      </c>
      <c r="J411" s="8" t="str">
        <f t="shared" si="52"/>
        <v>6)</v>
      </c>
      <c r="K411" s="8" t="str">
        <f t="shared" si="53"/>
        <v>0-6)</v>
      </c>
    </row>
    <row r="412" spans="1:11">
      <c r="A412" s="1" t="s">
        <v>722</v>
      </c>
      <c r="B412" s="1" t="s">
        <v>13</v>
      </c>
      <c r="C412" s="1" t="s">
        <v>14</v>
      </c>
      <c r="D412" s="1" t="s">
        <v>6</v>
      </c>
      <c r="E412" s="9" t="str">
        <f t="shared" si="54"/>
        <v>3</v>
      </c>
      <c r="F412" s="11" t="str">
        <f t="shared" si="48"/>
        <v>3</v>
      </c>
      <c r="G412" s="10" t="str">
        <f t="shared" si="49"/>
        <v>0</v>
      </c>
      <c r="H412" s="2" t="str">
        <f t="shared" si="50"/>
        <v>6</v>
      </c>
      <c r="I412" s="8" t="str">
        <f t="shared" si="51"/>
        <v>3(3</v>
      </c>
      <c r="J412" s="8" t="str">
        <f t="shared" si="52"/>
        <v>6)</v>
      </c>
      <c r="K412" s="8" t="str">
        <f t="shared" si="53"/>
        <v>0-6)</v>
      </c>
    </row>
    <row r="413" spans="1:11">
      <c r="A413" s="1" t="s">
        <v>723</v>
      </c>
      <c r="B413" s="1" t="s">
        <v>16</v>
      </c>
      <c r="C413" s="1" t="s">
        <v>17</v>
      </c>
      <c r="D413" s="1" t="s">
        <v>18</v>
      </c>
      <c r="E413" s="9" t="str">
        <f t="shared" si="54"/>
        <v>3</v>
      </c>
      <c r="F413" s="11" t="str">
        <f t="shared" si="48"/>
        <v>2</v>
      </c>
      <c r="G413" s="10" t="str">
        <f t="shared" si="49"/>
        <v>2</v>
      </c>
      <c r="H413" s="2" t="str">
        <f t="shared" si="50"/>
        <v>5</v>
      </c>
      <c r="I413" s="8" t="str">
        <f t="shared" si="51"/>
        <v>3(2</v>
      </c>
      <c r="J413" s="8" t="str">
        <f t="shared" si="52"/>
        <v>5)</v>
      </c>
      <c r="K413" s="8" t="str">
        <f t="shared" si="53"/>
        <v>2-5)</v>
      </c>
    </row>
    <row r="414" spans="1:11">
      <c r="A414" s="1" t="s">
        <v>724</v>
      </c>
      <c r="B414" s="1" t="s">
        <v>21</v>
      </c>
      <c r="C414" s="1" t="s">
        <v>22</v>
      </c>
      <c r="D414" s="1" t="s">
        <v>6</v>
      </c>
      <c r="E414" s="9" t="str">
        <f t="shared" si="54"/>
        <v>3</v>
      </c>
      <c r="F414" s="11" t="str">
        <f t="shared" si="48"/>
        <v>3</v>
      </c>
      <c r="G414" s="10" t="str">
        <f t="shared" si="49"/>
        <v>0</v>
      </c>
      <c r="H414" s="2" t="str">
        <f t="shared" si="50"/>
        <v>6</v>
      </c>
      <c r="I414" s="8" t="str">
        <f t="shared" si="51"/>
        <v>3(3</v>
      </c>
      <c r="J414" s="8" t="str">
        <f t="shared" si="52"/>
        <v>6)</v>
      </c>
      <c r="K414" s="8" t="str">
        <f t="shared" si="53"/>
        <v>0-6)</v>
      </c>
    </row>
    <row r="415" spans="1:11">
      <c r="A415" s="1" t="s">
        <v>725</v>
      </c>
      <c r="B415" s="1" t="s">
        <v>24</v>
      </c>
      <c r="C415" s="1" t="s">
        <v>25</v>
      </c>
      <c r="D415" s="1" t="s">
        <v>6</v>
      </c>
      <c r="E415" s="9" t="str">
        <f t="shared" si="54"/>
        <v>3</v>
      </c>
      <c r="F415" s="11" t="str">
        <f t="shared" ref="F415:F418" si="55">RIGHT(I415,1)</f>
        <v>3</v>
      </c>
      <c r="G415" s="10" t="str">
        <f t="shared" ref="G415:G418" si="56">LEFT(K415,1)</f>
        <v>0</v>
      </c>
      <c r="H415" s="2" t="str">
        <f t="shared" ref="H415:H418" si="57">LEFT(J415,1)</f>
        <v>6</v>
      </c>
      <c r="I415" s="8" t="str">
        <f t="shared" ref="I415:I418" si="58">LEFT(D415,3)</f>
        <v>3(3</v>
      </c>
      <c r="J415" s="8" t="str">
        <f t="shared" ref="J415:J418" si="59">RIGHT(D415,2)</f>
        <v>6)</v>
      </c>
      <c r="K415" s="8" t="str">
        <f t="shared" ref="K415:K418" si="60">RIGHT(D415,4)</f>
        <v>0-6)</v>
      </c>
    </row>
    <row r="416" spans="1:11">
      <c r="A416" s="1" t="s">
        <v>726</v>
      </c>
      <c r="B416" s="1" t="s">
        <v>727</v>
      </c>
      <c r="C416" s="1" t="s">
        <v>728</v>
      </c>
      <c r="D416" s="1" t="s">
        <v>6</v>
      </c>
      <c r="E416" s="9" t="str">
        <f t="shared" si="54"/>
        <v>3</v>
      </c>
      <c r="F416" s="11" t="str">
        <f t="shared" si="55"/>
        <v>3</v>
      </c>
      <c r="G416" s="10" t="str">
        <f t="shared" si="56"/>
        <v>0</v>
      </c>
      <c r="H416" s="2" t="str">
        <f t="shared" si="57"/>
        <v>6</v>
      </c>
      <c r="I416" s="8" t="str">
        <f t="shared" si="58"/>
        <v>3(3</v>
      </c>
      <c r="J416" s="8" t="str">
        <f t="shared" si="59"/>
        <v>6)</v>
      </c>
      <c r="K416" s="8" t="str">
        <f t="shared" si="60"/>
        <v>0-6)</v>
      </c>
    </row>
    <row r="417" spans="1:11">
      <c r="A417" s="1" t="s">
        <v>717</v>
      </c>
      <c r="B417" s="1" t="s">
        <v>30</v>
      </c>
      <c r="C417" s="1" t="s">
        <v>729</v>
      </c>
      <c r="D417" s="1" t="s">
        <v>6</v>
      </c>
      <c r="E417" s="9" t="str">
        <f t="shared" si="54"/>
        <v>3</v>
      </c>
      <c r="F417" s="11" t="str">
        <f t="shared" si="55"/>
        <v>3</v>
      </c>
      <c r="G417" s="10" t="str">
        <f t="shared" si="56"/>
        <v>0</v>
      </c>
      <c r="H417" s="2" t="str">
        <f t="shared" si="57"/>
        <v>6</v>
      </c>
      <c r="I417" s="8" t="str">
        <f t="shared" si="58"/>
        <v>3(3</v>
      </c>
      <c r="J417" s="8" t="str">
        <f t="shared" si="59"/>
        <v>6)</v>
      </c>
      <c r="K417" s="8" t="str">
        <f t="shared" si="60"/>
        <v>0-6)</v>
      </c>
    </row>
    <row r="418" spans="1:11">
      <c r="A418" s="1" t="s">
        <v>730</v>
      </c>
      <c r="B418" s="1" t="s">
        <v>27</v>
      </c>
      <c r="C418" s="1" t="s">
        <v>731</v>
      </c>
      <c r="D418" s="1" t="s">
        <v>6</v>
      </c>
      <c r="E418" s="9" t="str">
        <f t="shared" si="54"/>
        <v>3</v>
      </c>
      <c r="F418" s="11" t="str">
        <f t="shared" si="55"/>
        <v>3</v>
      </c>
      <c r="G418" s="10" t="str">
        <f t="shared" si="56"/>
        <v>0</v>
      </c>
      <c r="H418" s="2" t="str">
        <f t="shared" si="57"/>
        <v>6</v>
      </c>
      <c r="I418" s="8" t="str">
        <f t="shared" si="58"/>
        <v>3(3</v>
      </c>
      <c r="J418" s="8" t="str">
        <f t="shared" si="59"/>
        <v>6)</v>
      </c>
      <c r="K418" s="8" t="str">
        <f t="shared" si="60"/>
        <v>0-6)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ข้อมูลรายวิชา</vt:lpstr>
      <vt:lpstr>ข้อมูลรายวิชา!_Hlk120792932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pisut palapol</cp:lastModifiedBy>
  <dcterms:created xsi:type="dcterms:W3CDTF">2026-02-25T07:43:49Z</dcterms:created>
  <dcterms:modified xsi:type="dcterms:W3CDTF">2026-03-16T09:33:11Z</dcterms:modified>
  <cp:category/>
</cp:coreProperties>
</file>